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charts/chart4.xml" ContentType="application/vnd.openxmlformats-officedocument.drawingml.chart+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2"/>
  </bookViews>
  <sheets>
    <sheet name="Instructions" sheetId="1" state="visible" r:id="rId1"/>
    <sheet name="Typical_App_Circuit" sheetId="2" state="visible" r:id="rId2"/>
    <sheet name="Calculation Sheet" sheetId="3" state="visible" r:id="rId3"/>
    <sheet name="Thermal Shutdown Limit Plot" sheetId="4" state="visible" r:id="rId4"/>
    <sheet name="Res EIA Tables" sheetId="5" state="visible" r:id="rId5"/>
    <sheet name="Cap Tables" sheetId="6" state="visible" r:id="rId6"/>
    <sheet name="Max_Cap_charging" sheetId="7" state="visible" r:id="rId7"/>
  </sheets>
  <definedNames>
    <definedName name="Cdvdt">'Calculation Sheet'!$D$44</definedName>
    <definedName name="Cdvdt_cal1">'Calculation Sheet'!$D$41</definedName>
    <definedName name="Cdvdt_cal2">'Calculation Sheet'!$D$42</definedName>
    <definedName name="Cout">'Calculation Sheet'!$D$10</definedName>
    <definedName name="Gain_dvdt">'Calculation Sheet'!$D$93</definedName>
    <definedName name="Gain_IMON">'Calculation Sheet'!$D$97</definedName>
    <definedName name="I_dvdt">'Calculation Sheet'!$D$92</definedName>
    <definedName name="Icharge">'Calculation Sheet'!$D$46</definedName>
    <definedName name="Icharge_req">'Calculation Sheet'!#REF!</definedName>
    <definedName name="Ilimit">'Calculation Sheet'!$D$15</definedName>
    <definedName name="Ilimit_final">'Calculation Sheet'!$D$34</definedName>
    <definedName name="Imax">'Calculation Sheet'!$D$13</definedName>
    <definedName name="INRUSH">'Calculation Sheet'!$D$14</definedName>
    <definedName name="OVPref">'Calculation Sheet'!$D$91</definedName>
    <definedName name="OVset">'Calculation Sheet'!$D$9</definedName>
    <definedName name="PGSET">'Calculation Sheet'!$D$59</definedName>
    <definedName name="PGTHF">'Calculation Sheet'!$D$96</definedName>
    <definedName name="PGTHR">'Calculation Sheet'!$D$95</definedName>
    <definedName name="PLIM">'Calculation Sheet'!$D$66</definedName>
    <definedName name="Pload">'Calculation Sheet'!$D$113</definedName>
    <definedName name="Rdson_125deg">'Calculation Sheet'!$D$86</definedName>
    <definedName name="Rdson_25deg">'Calculation Sheet'!$D$84</definedName>
    <definedName name="Rdson_85deg">'Calculation Sheet'!$D$85</definedName>
    <definedName name="Rilim">'Calculation Sheet'!$D$33</definedName>
    <definedName name="RIMON_sel">'Calculation Sheet'!$D$74</definedName>
    <definedName name="RIN">'Calculation Sheet'!$D$24</definedName>
    <definedName name="Rlimit">'Calculation Sheet'!$D$33</definedName>
    <definedName name="RLstart">'Calculation Sheet'!$D$12</definedName>
    <definedName name="ROVP">'Calculation Sheet'!$D$22</definedName>
    <definedName name="RUVLO">'Calculation Sheet'!$D$23</definedName>
    <definedName name="Ta">'Calculation Sheet'!$D$11</definedName>
    <definedName name="Tdvdt">'Calculation Sheet'!$D$45</definedName>
    <definedName name="Tdvdt_default">'Calculation Sheet'!$D$94</definedName>
    <definedName name="Tdvdt_req">'Calculation Sheet'!$D$40</definedName>
    <definedName name="UVLOhys">'Calculation Sheet'!$D$90</definedName>
    <definedName name="UVLOref">'Calculation Sheet'!$D$89</definedName>
    <definedName name="UVset">'Calculation Sheet'!$D$8</definedName>
    <definedName name="Vinmax">'Calculation Sheet'!$D$6</definedName>
    <definedName name="VINmin">'Calculation Sheet'!$D$5</definedName>
    <definedName name="VINnom">'Calculation Sheet'!$D$7</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<sst xmlns="http://schemas.openxmlformats.org/spreadsheetml/2006/main" count="240" uniqueCount="240">
  <si>
    <t xml:space="preserve">Instructions for using the TPS2663x/TPS1663x Design Calculator</t>
  </si>
  <si>
    <r>
      <rPr>
        <b/>
        <u val="single"/>
        <sz val="11"/>
        <color theme="1"/>
        <rFont val="Calibri"/>
        <scheme val="minor"/>
      </rPr>
      <t xml:space="preserve">Design Inputs</t>
    </r>
    <r>
      <rPr>
        <sz val="11"/>
        <color theme="1"/>
        <rFont val="Calibri"/>
        <scheme val="minor"/>
      </rPr>
      <t xml:space="preserve">
• Enter the design inputs for operating input voltage, under voltage, overvoltage set points, output capacitance, ambient temperature, load at start-up, maximum continuous load current, and permissible inrush current at start up for charging output capacitance in cells D5 to D14 in Calculation Sheet.
• Select the current limit for device (I</t>
    </r>
    <r>
      <rPr>
        <vertAlign val="subscript"/>
        <sz val="11"/>
        <color theme="1"/>
        <rFont val="Calibri"/>
        <scheme val="minor"/>
      </rPr>
      <t>Limit</t>
    </r>
    <r>
      <rPr>
        <sz val="11"/>
        <color theme="1"/>
        <rFont val="Calibri"/>
        <scheme val="minor"/>
      </rPr>
      <t xml:space="preserve">) at-least 5% more than (I</t>
    </r>
    <r>
      <rPr>
        <vertAlign val="subscript"/>
        <sz val="11"/>
        <color theme="1"/>
        <rFont val="Calibri"/>
        <scheme val="minor"/>
      </rPr>
      <t>max</t>
    </r>
    <r>
      <rPr>
        <sz val="11"/>
        <color theme="1"/>
        <rFont val="Calibri"/>
        <scheme val="minor"/>
      </rPr>
      <t xml:space="preserve"> + I</t>
    </r>
    <r>
      <rPr>
        <vertAlign val="subscript"/>
        <sz val="11"/>
        <color theme="1"/>
        <rFont val="Calibri"/>
        <scheme val="minor"/>
      </rPr>
      <t>INRUSH_Permissible</t>
    </r>
    <r>
      <rPr>
        <sz val="11"/>
        <color theme="1"/>
        <rFont val="Calibri"/>
        <scheme val="minor"/>
      </rPr>
      <t xml:space="preserve">) in Cell D15 in Calculation Sheet.
UVLO, OVP Calculations 
• Enter the value of resistor (R3) between UVLO and OVP pins in Cell D18 in Calculation in Calculation Sheet
• Design Calculator provides the calculated value of R2, R3
• Select the value of R1, R2 and R3 resistors in cells D22 to D24 close to the calculated values.
• Design calculator provides the final under voltage, overvoltage and power fail set points based on selected values of R1 to R3 in cells D22 to D24.
• Verify the value of current through resistors R1 to R3. The color of cell D28 changes based on value of current. If Current &lt; 2uA, the cell turns RED and value of R3 needs to be reduced.
</t>
    </r>
    <r>
      <rPr>
        <b/>
        <u val="single"/>
        <sz val="11"/>
        <color theme="1"/>
        <rFont val="Calibri"/>
        <scheme val="minor"/>
      </rPr>
      <t xml:space="preserve">
Current Limit Calculations</t>
    </r>
    <r>
      <rPr>
        <sz val="11"/>
        <color theme="1"/>
        <rFont val="Calibri"/>
        <scheme val="minor"/>
      </rPr>
      <t xml:space="preserve">
• Design Calculator provides the calculated value of resistor for I</t>
    </r>
    <r>
      <rPr>
        <vertAlign val="subscript"/>
        <sz val="11"/>
        <color theme="1"/>
        <rFont val="Calibri"/>
        <scheme val="minor"/>
      </rPr>
      <t>LIM</t>
    </r>
    <r>
      <rPr>
        <sz val="11"/>
        <color theme="1"/>
        <rFont val="Calibri"/>
        <scheme val="minor"/>
      </rPr>
      <t xml:space="preserve">
• Select the value of resistor for I</t>
    </r>
    <r>
      <rPr>
        <vertAlign val="subscript"/>
        <sz val="11"/>
        <color theme="1"/>
        <rFont val="Calibri"/>
        <scheme val="minor"/>
      </rPr>
      <t>LIM</t>
    </r>
    <r>
      <rPr>
        <sz val="11"/>
        <color theme="1"/>
        <rFont val="Calibri"/>
        <scheme val="minor"/>
      </rPr>
      <t xml:space="preserve"> close to the calculated value.
• Design Calculator provides the value of I</t>
    </r>
    <r>
      <rPr>
        <vertAlign val="subscript"/>
        <sz val="11"/>
        <color theme="1"/>
        <rFont val="Calibri"/>
        <scheme val="minor"/>
      </rPr>
      <t>LIM</t>
    </r>
    <r>
      <rPr>
        <sz val="11"/>
        <color theme="1"/>
        <rFont val="Calibri"/>
        <scheme val="minor"/>
      </rPr>
      <t xml:space="preserve"> based on selected value if I</t>
    </r>
    <r>
      <rPr>
        <vertAlign val="subscript"/>
        <sz val="11"/>
        <color theme="1"/>
        <rFont val="Calibri"/>
        <scheme val="minor"/>
      </rPr>
      <t>LIM</t>
    </r>
    <r>
      <rPr>
        <sz val="11"/>
        <color theme="1"/>
        <rFont val="Calibri"/>
        <scheme val="minor"/>
      </rPr>
      <t xml:space="preserve"> resistor in Cell D34.
</t>
    </r>
    <r>
      <rPr>
        <b/>
        <u val="single"/>
        <sz val="11"/>
        <color theme="1"/>
        <rFont val="Calibri"/>
        <scheme val="minor"/>
      </rPr>
      <t xml:space="preserve">dVdT resistor and Output ramp time Calculations
</t>
    </r>
    <r>
      <rPr>
        <sz val="11"/>
        <color theme="1"/>
        <rFont val="Calibri"/>
        <scheme val="minor"/>
      </rPr>
      <t xml:space="preserve">• Design Calculator provides the  value of tdvdt with permissible inrush current .
• Design Calculator provides calculated value of Cdvdt for permissible inrush current in Cell D41
• Verify that sum of final inrush current and load current during startup is less than final ILimit. If sum of final inrush current and load current during startup is more than ILimit, Cell D47 turns RED and value of Permissible inrush current in Cell D14 needs to be increased. 
</t>
    </r>
    <r>
      <rPr>
        <b/>
        <u val="single"/>
        <sz val="11"/>
        <color theme="1"/>
        <rFont val="Calibri"/>
        <scheme val="minor"/>
      </rPr>
      <t xml:space="preserve">Power Dissipation and thermal regulation at start up.
</t>
    </r>
    <r>
      <rPr>
        <sz val="11"/>
        <color theme="1"/>
        <rFont val="Calibri"/>
        <scheme val="minor"/>
      </rPr>
      <t xml:space="preserve">• Design calculator provides the calculated values of power dissipation at start-up 
• Design calculator checks the power dissipated with thermal shutdown limit data in the adjacent sheet.
• If the device goes in to thermal regulation at startup, the device will reduce the current and regulate the junction temperature to TJ_reg value for a maximum duration of t(Treg_timeout). Refer to Max_Cap_charging sheet for maximum value of capacitance charged by device in thermal regulation at start-up. 
• If thermal regulation is not desirable at start up, reduce the value of permissible inrush current in Cell D14
</t>
    </r>
    <r>
      <rPr>
        <b/>
        <u val="single"/>
        <sz val="11"/>
        <color theme="1"/>
        <rFont val="Calibri"/>
        <scheme val="minor"/>
      </rPr>
      <t xml:space="preserve">Calculations for Power Good.
</t>
    </r>
    <r>
      <rPr>
        <sz val="11"/>
        <color theme="1"/>
        <rFont val="Calibri"/>
        <scheme val="minor"/>
      </rPr>
      <t xml:space="preserve">• Enter the value of power good set point in Cell D59. This value needs to be greater than or equal to UVLO set point of the DC – DC converter or linear regulator connected on the output of the device.
• Enter the value of R4 resistor (&gt; 100k)
• Design calculator provides the value of R5 and the voltage at which Power good will de-assert (go low).
• Verify the value of current through R4, R5 resistor. If current is less than 2uA, cell D63 turns RED and value of R4 needs to be reduced.
Calculations for Power Limit (PLIM).
• Enter the desired value of power limit based output power.
• Design calculator provides the value of PLIM resistor.
• Verify the power limit with maximum power at nominal input voltage [=VIN(nom) x ILimit]. If power limit is more than maximum power at nominal input voltage, Cell D66 turns RED.  To make power limiting effective over current limiting, it is recommend to reduce the power limit. 
</t>
    </r>
    <r>
      <rPr>
        <b/>
        <u val="single"/>
        <sz val="11"/>
        <color theme="1"/>
        <rFont val="Calibri"/>
        <scheme val="minor"/>
      </rPr>
      <t xml:space="preserve">Calculations for Current Monitor output
</t>
    </r>
    <r>
      <rPr>
        <sz val="11"/>
        <color theme="1"/>
        <rFont val="Calibri"/>
        <scheme val="minor"/>
      </rPr>
      <t xml:space="preserve">• Enter the value for maximum IMON pin voltage based on input range of the ADC connected on IMON pin
• Design calculator provides the calculated value of resistor for IMON pin
• Select the value of resistor on IMON pin in cell D74 close to calculated value.
• Verify that value of voltage is less than 4V. if value is more than 4V, Cell D73 turns RED and then reduce the resistor value in Cell D74.
</t>
    </r>
    <r>
      <rPr>
        <b/>
        <u val="single"/>
        <sz val="11"/>
        <color theme="1"/>
        <rFont val="Calibri"/>
        <scheme val="minor"/>
      </rPr>
      <t xml:space="preserve">Internal FET parameters and References</t>
    </r>
    <r>
      <rPr>
        <sz val="11"/>
        <color theme="1"/>
        <rFont val="Calibri"/>
        <scheme val="minor"/>
      </rPr>
      <t xml:space="preserve">
• Do not change the values and parameters in Internal FET parameters and References.
Selection of External FET for reverses current blocking (RCB) and Reverse polarity protection (RPP).
• Design calculator provides specifications of external FET for RCB and RPP.
</t>
    </r>
    <r>
      <rPr>
        <b/>
        <u val="single"/>
        <sz val="11"/>
        <color theme="1"/>
        <rFont val="Calibri"/>
        <scheme val="minor"/>
      </rPr>
      <t xml:space="preserve">Selection of Pull Down switche for External FET.</t>
    </r>
    <r>
      <rPr>
        <sz val="11"/>
        <color theme="1"/>
        <rFont val="Calibri"/>
        <scheme val="minor"/>
      </rPr>
      <t xml:space="preserve">
• Design calculator provides specifications for pull down switch for external FET.
Selection of components for IEC61000-4-5 (Surge)
• Enter the output load power 
• Design calculator provides the recommended value of COUT for Class-A operation based on output load power, nominal input voltage and power good set point.
</t>
    </r>
  </si>
  <si>
    <t xml:space="preserve">TPS2663x and TPS1663x  Design Calculator Tool</t>
  </si>
  <si>
    <t xml:space="preserve">Constants Cells</t>
  </si>
  <si>
    <t xml:space="preserve">Input / Select Cells</t>
  </si>
  <si>
    <t xml:space="preserve">Calculation Cells</t>
  </si>
  <si>
    <t xml:space="preserve">Verification Cells</t>
  </si>
  <si>
    <r>
      <t xml:space="preserve">Calculated, but can be over-ridden by the user. 
</t>
    </r>
    <r>
      <rPr>
        <sz val="14"/>
        <rFont val="Arial"/>
      </rPr>
      <t xml:space="preserve">Note: Once cells are over-ridden, new calculation sheet should be used for the next design</t>
    </r>
  </si>
  <si>
    <t xml:space="preserve">Design Inputs</t>
  </si>
  <si>
    <t>Description</t>
  </si>
  <si>
    <t xml:space="preserve">Value </t>
  </si>
  <si>
    <t xml:space="preserve"> Units</t>
  </si>
  <si>
    <t>Tolerance</t>
  </si>
  <si>
    <r>
      <t>V</t>
    </r>
    <r>
      <rPr>
        <vertAlign val="subscript"/>
        <sz val="14"/>
        <rFont val="Arial"/>
      </rPr>
      <t>IN</t>
    </r>
    <r>
      <rPr>
        <sz val="14"/>
        <rFont val="Arial"/>
      </rPr>
      <t xml:space="preserve"> (min)</t>
    </r>
  </si>
  <si>
    <t xml:space="preserve">Minimum Operating Input Voltage</t>
  </si>
  <si>
    <t>V</t>
  </si>
  <si>
    <r>
      <t>V</t>
    </r>
    <r>
      <rPr>
        <vertAlign val="subscript"/>
        <sz val="14"/>
        <color theme="1"/>
        <rFont val="Arial"/>
      </rPr>
      <t xml:space="preserve">IN </t>
    </r>
    <r>
      <rPr>
        <sz val="14"/>
        <color theme="1"/>
        <rFont val="Arial"/>
      </rPr>
      <t>(max)</t>
    </r>
  </si>
  <si>
    <t xml:space="preserve">Maximum Operating Input Voltage</t>
  </si>
  <si>
    <r>
      <t>V</t>
    </r>
    <r>
      <rPr>
        <vertAlign val="subscript"/>
        <sz val="14"/>
        <color theme="1"/>
        <rFont val="Arial"/>
      </rPr>
      <t>IN</t>
    </r>
    <r>
      <rPr>
        <sz val="14"/>
        <color theme="1"/>
        <rFont val="Arial"/>
      </rPr>
      <t xml:space="preserve"> (nom)</t>
    </r>
  </si>
  <si>
    <t xml:space="preserve">Nominal operating Input voltage</t>
  </si>
  <si>
    <t>UVset</t>
  </si>
  <si>
    <t xml:space="preserve">Undervoltage Lockout Set point</t>
  </si>
  <si>
    <t>OVset</t>
  </si>
  <si>
    <t xml:space="preserve">Over Voltage Cut-Off Set point</t>
  </si>
  <si>
    <t>Cout</t>
  </si>
  <si>
    <t xml:space="preserve">Load Capacitance</t>
  </si>
  <si>
    <t>µF</t>
  </si>
  <si>
    <r>
      <t>T</t>
    </r>
    <r>
      <rPr>
        <vertAlign val="subscript"/>
        <sz val="14"/>
        <color theme="1"/>
        <rFont val="Arial"/>
      </rPr>
      <t xml:space="preserve">A </t>
    </r>
    <r>
      <rPr>
        <sz val="14"/>
        <color theme="1"/>
        <rFont val="Arial"/>
      </rPr>
      <t>(max)</t>
    </r>
  </si>
  <si>
    <t xml:space="preserve">Maximum Ambient Temperature </t>
  </si>
  <si>
    <t xml:space="preserve">TA = 25C</t>
  </si>
  <si>
    <t>°C</t>
  </si>
  <si>
    <t>RLstart</t>
  </si>
  <si>
    <t xml:space="preserve">Load during start-up (Assumed to be resistive)</t>
  </si>
  <si>
    <t>Ω</t>
  </si>
  <si>
    <t>Imax</t>
  </si>
  <si>
    <t xml:space="preserve">Maximum continuous load current</t>
  </si>
  <si>
    <t>A</t>
  </si>
  <si>
    <r>
      <t>I</t>
    </r>
    <r>
      <rPr>
        <vertAlign val="subscript"/>
        <sz val="14"/>
        <color theme="1"/>
        <rFont val="Arial"/>
      </rPr>
      <t>INRUSH_permissible</t>
    </r>
  </si>
  <si>
    <t xml:space="preserve">Permissible inrush current from power supply or system for charging Cout on Start-up</t>
  </si>
  <si>
    <t>ILimit</t>
  </si>
  <si>
    <r>
      <t xml:space="preserve">Current Limit, 5% higher than [Imax + I</t>
    </r>
    <r>
      <rPr>
        <vertAlign val="subscript"/>
        <sz val="14"/>
        <color theme="1"/>
        <rFont val="Arial"/>
      </rPr>
      <t xml:space="preserve">INRUSH_permissible </t>
    </r>
    <r>
      <rPr>
        <sz val="14"/>
        <color theme="1"/>
        <rFont val="Arial"/>
      </rPr>
      <t>]</t>
    </r>
  </si>
  <si>
    <t xml:space="preserve">UVLO, OVP Calculations</t>
  </si>
  <si>
    <t xml:space="preserve">OVP Calculations are only for TPS26630,TPS26631 and TPS16630. </t>
  </si>
  <si>
    <t>R3_sel</t>
  </si>
  <si>
    <t xml:space="preserve">Select a value of resistor between OVP and GND pins [1k to 249k]</t>
  </si>
  <si>
    <t>kΩ</t>
  </si>
  <si>
    <t>R2_cal</t>
  </si>
  <si>
    <t xml:space="preserve">Calculated value of Resistor between UVLO and OVP pins</t>
  </si>
  <si>
    <t xml:space="preserve">Power Fail 
(VIN Falling)</t>
  </si>
  <si>
    <t>R1_cal</t>
  </si>
  <si>
    <t xml:space="preserve">Verify value of Resistor at IN_SYS and UVLO pins [&gt; 300k]</t>
  </si>
  <si>
    <t xml:space="preserve">UVLO 
(VIN Rising)</t>
  </si>
  <si>
    <t xml:space="preserve">SELECT THE CLOSEST POSSIBLE RESISTANCE VALUE FOR R1, R2, R3</t>
  </si>
  <si>
    <t xml:space="preserve">OVP
(VIN Rising)</t>
  </si>
  <si>
    <t xml:space="preserve">Selected closest possible value for R3 resistor</t>
  </si>
  <si>
    <t>R2_sel</t>
  </si>
  <si>
    <t xml:space="preserve">Selected closest possible value for R2 resistor</t>
  </si>
  <si>
    <t>R1_sel</t>
  </si>
  <si>
    <t xml:space="preserve">Selected closest possible value for R1 resistor</t>
  </si>
  <si>
    <t>UV_Final</t>
  </si>
  <si>
    <t>OV_Final</t>
  </si>
  <si>
    <t xml:space="preserve">Power Fail Detection</t>
  </si>
  <si>
    <t xml:space="preserve">Power Fail Detection Set Point</t>
  </si>
  <si>
    <t>I_R123</t>
  </si>
  <si>
    <t xml:space="preserve">Verify minimum Current in R1, R2, R3 Branch at Input voltage of Uvset [&gt; 2uA]</t>
  </si>
  <si>
    <t>uA</t>
  </si>
  <si>
    <t xml:space="preserve">Current Limit Calculations</t>
  </si>
  <si>
    <t>RLIM_cal</t>
  </si>
  <si>
    <t xml:space="preserve">Calculated current limit resistor value</t>
  </si>
  <si>
    <t xml:space="preserve">Inrush Charging 
Current</t>
  </si>
  <si>
    <t xml:space="preserve">SELECT THE CLOSEST POSSIBLE RESISTANCE VALUE FOR RLIM</t>
  </si>
  <si>
    <t xml:space="preserve">Overload Current
Limit</t>
  </si>
  <si>
    <t>RLIM</t>
  </si>
  <si>
    <t xml:space="preserve">Selected closest possible value for RLIM resistor</t>
  </si>
  <si>
    <t xml:space="preserve">Fastrip Current
Limit</t>
  </si>
  <si>
    <t>ILimit_Final</t>
  </si>
  <si>
    <t xml:space="preserve">Final Current Limit Set Point</t>
  </si>
  <si>
    <r>
      <t xml:space="preserve">dV/dT Capacitor and Output ramp Time(T</t>
    </r>
    <r>
      <rPr>
        <b/>
        <i/>
        <vertAlign val="subscript"/>
        <sz val="14"/>
        <rFont val="Arial"/>
      </rPr>
      <t>dvdt</t>
    </r>
    <r>
      <rPr>
        <b/>
        <i/>
        <sz val="14"/>
        <rFont val="Arial"/>
      </rPr>
      <t xml:space="preserve">) Calculation</t>
    </r>
  </si>
  <si>
    <t>Tdvdt_default</t>
  </si>
  <si>
    <t xml:space="preserve">Default Tdvdt with no external capacitor connected at dVdT pin</t>
  </si>
  <si>
    <t>ms</t>
  </si>
  <si>
    <r>
      <t>Tdvdt_with_I</t>
    </r>
    <r>
      <rPr>
        <vertAlign val="subscript"/>
        <sz val="14"/>
        <color theme="1"/>
        <rFont val="Arial"/>
      </rPr>
      <t>INRUSH_permissible</t>
    </r>
  </si>
  <si>
    <r>
      <t xml:space="preserve">Tdvdt with I</t>
    </r>
    <r>
      <rPr>
        <vertAlign val="subscript"/>
        <sz val="14"/>
        <color theme="1"/>
        <rFont val="Arial"/>
      </rPr>
      <t>INRUSH_permissible</t>
    </r>
  </si>
  <si>
    <t xml:space="preserve">Tdvdt required</t>
  </si>
  <si>
    <r>
      <t xml:space="preserve">Enter Tdvdt if lower Tdvdt than the Tdvdt with I</t>
    </r>
    <r>
      <rPr>
        <vertAlign val="subscript"/>
        <sz val="16"/>
        <color theme="1"/>
        <rFont val="Arial"/>
      </rPr>
      <t>INRUSH_premissible</t>
    </r>
    <r>
      <rPr>
        <sz val="14"/>
        <color theme="1"/>
        <rFont val="Arial"/>
      </rPr>
      <t xml:space="preserve"> is required  </t>
    </r>
  </si>
  <si>
    <r>
      <t>Cdvdt_for_permissible_I</t>
    </r>
    <r>
      <rPr>
        <vertAlign val="subscript"/>
        <sz val="14"/>
        <color theme="1"/>
        <rFont val="Arial"/>
      </rPr>
      <t>INRUSH</t>
    </r>
  </si>
  <si>
    <t xml:space="preserve">Calculated dVdT capacitor value based on permissible Inrush current</t>
  </si>
  <si>
    <t>Cdvdt_for_required_Tdvdt</t>
  </si>
  <si>
    <t xml:space="preserve">Calculated dVdT capacitor value based on required Tdvdt</t>
  </si>
  <si>
    <r>
      <t xml:space="preserve">SELECT Cdvdt either for required Tdvdt or for Permissible I</t>
    </r>
    <r>
      <rPr>
        <vertAlign val="subscript"/>
        <sz val="14"/>
        <color theme="1"/>
        <rFont val="Arial"/>
      </rPr>
      <t>INRUSH</t>
    </r>
  </si>
  <si>
    <t>Cdvdt</t>
  </si>
  <si>
    <t xml:space="preserve">Enter Selected value for CdV/dT capacitor</t>
  </si>
  <si>
    <t>Tdvdt_Final</t>
  </si>
  <si>
    <t xml:space="preserve">Final Output Voltage ramp time (Tdvdt) </t>
  </si>
  <si>
    <r>
      <t>I</t>
    </r>
    <r>
      <rPr>
        <vertAlign val="subscript"/>
        <sz val="14"/>
        <color theme="1"/>
        <rFont val="Arial"/>
      </rPr>
      <t>INRUSH</t>
    </r>
    <r>
      <rPr>
        <sz val="14"/>
        <color theme="1"/>
        <rFont val="Arial"/>
      </rPr>
      <t>_Final</t>
    </r>
  </si>
  <si>
    <t xml:space="preserve">Final Inrush current for charging Cout</t>
  </si>
  <si>
    <r>
      <t>I</t>
    </r>
    <r>
      <rPr>
        <vertAlign val="subscript"/>
        <sz val="14"/>
        <color theme="1"/>
        <rFont val="Arial"/>
      </rPr>
      <t>INRUSH_Final</t>
    </r>
    <r>
      <rPr>
        <sz val="14"/>
        <color theme="1"/>
        <rFont val="Arial"/>
      </rPr>
      <t xml:space="preserve"> + I</t>
    </r>
    <r>
      <rPr>
        <vertAlign val="subscript"/>
        <sz val="14"/>
        <color theme="1"/>
        <rFont val="Arial"/>
      </rPr>
      <t>Load_startup</t>
    </r>
  </si>
  <si>
    <r>
      <t xml:space="preserve">Is I</t>
    </r>
    <r>
      <rPr>
        <vertAlign val="subscript"/>
        <sz val="14"/>
        <color theme="1"/>
        <rFont val="Arial"/>
      </rPr>
      <t>INRUSH_Final</t>
    </r>
    <r>
      <rPr>
        <sz val="14"/>
        <color theme="1"/>
        <rFont val="Arial"/>
      </rPr>
      <t xml:space="preserve"> + I</t>
    </r>
    <r>
      <rPr>
        <vertAlign val="subscript"/>
        <sz val="14"/>
        <color theme="1"/>
        <rFont val="Arial"/>
      </rPr>
      <t xml:space="preserve">Load_startup </t>
    </r>
    <r>
      <rPr>
        <sz val="14"/>
        <color theme="1"/>
        <rFont val="Arial"/>
      </rPr>
      <t xml:space="preserve">less than ILimit_Final?</t>
    </r>
  </si>
  <si>
    <t xml:space="preserve">Total Power dissipation at Start-up and Thermal Regulation</t>
  </si>
  <si>
    <t>Pd_dvdt</t>
  </si>
  <si>
    <t xml:space="preserve">Power dissipation due to output capacitance at start-up </t>
  </si>
  <si>
    <t>W</t>
  </si>
  <si>
    <t>Pd_Rlstart</t>
  </si>
  <si>
    <t xml:space="preserve">Power dissipation due to load resistance during start-up</t>
  </si>
  <si>
    <t>Pd_startup</t>
  </si>
  <si>
    <t xml:space="preserve">Total power dissipation during start-up</t>
  </si>
  <si>
    <r>
      <t xml:space="preserve">Maximum power dissipation allowed before thermal regulation for </t>
    </r>
    <r>
      <rPr>
        <b/>
        <sz val="14"/>
        <color theme="1"/>
        <rFont val="Arial"/>
      </rPr>
      <t>RGE</t>
    </r>
    <r>
      <rPr>
        <sz val="14"/>
        <color theme="1"/>
        <rFont val="Arial"/>
      </rPr>
      <t xml:space="preserve"> Package</t>
    </r>
  </si>
  <si>
    <r>
      <t xml:space="preserve">Maximum power dissipation allowed before thermal regulation for </t>
    </r>
    <r>
      <rPr>
        <b/>
        <sz val="14"/>
        <color theme="1"/>
        <rFont val="Arial"/>
      </rPr>
      <t>PWP</t>
    </r>
    <r>
      <rPr>
        <sz val="14"/>
        <color theme="1"/>
        <rFont val="Arial"/>
      </rPr>
      <t xml:space="preserve"> Package</t>
    </r>
  </si>
  <si>
    <r>
      <t xml:space="preserve">Will Device go into thermal regulation at start-up with </t>
    </r>
    <r>
      <rPr>
        <b/>
        <sz val="14"/>
        <color theme="1"/>
        <rFont val="Arial"/>
      </rPr>
      <t>RGE</t>
    </r>
    <r>
      <rPr>
        <sz val="14"/>
        <color theme="1"/>
        <rFont val="Arial"/>
      </rPr>
      <t xml:space="preserve"> Package?</t>
    </r>
  </si>
  <si>
    <r>
      <t xml:space="preserve">Will Device go into thermal regulation at start-up with </t>
    </r>
    <r>
      <rPr>
        <b/>
        <sz val="14"/>
        <color theme="1"/>
        <rFont val="Arial"/>
      </rPr>
      <t>PWP</t>
    </r>
    <r>
      <rPr>
        <sz val="14"/>
        <color theme="1"/>
        <rFont val="Arial"/>
      </rPr>
      <t xml:space="preserve"> Package?</t>
    </r>
  </si>
  <si>
    <t xml:space="preserve">Calculations for Power Good threshold</t>
  </si>
  <si>
    <t xml:space="preserve">Only for TPS2663x devices</t>
  </si>
  <si>
    <t>PGSET</t>
  </si>
  <si>
    <t xml:space="preserve">Power good setpoint [Enter this values as minimum operating voltage of downstream DC-DC converter]</t>
  </si>
  <si>
    <t>R4</t>
  </si>
  <si>
    <t xml:space="preserve">Enter a value of R4 resistor [&gt; 100k] </t>
  </si>
  <si>
    <t>R5</t>
  </si>
  <si>
    <t xml:space="preserve">Caclulated value of R5 resistor</t>
  </si>
  <si>
    <t>PGDEASSERT</t>
  </si>
  <si>
    <t xml:space="preserve">Calculated value of Power good deassertion voltage [Power good going low]</t>
  </si>
  <si>
    <t>I_R45</t>
  </si>
  <si>
    <t xml:space="preserve">Verify minimum Current in R4, R5 at UVsetVoltage [&gt; 2uA]</t>
  </si>
  <si>
    <t xml:space="preserve">Calculations for Power Limit</t>
  </si>
  <si>
    <t xml:space="preserve">Only for TPS26632, TPS26633, TPS26635 and TPS16632 devices</t>
  </si>
  <si>
    <t>Plimit</t>
  </si>
  <si>
    <t xml:space="preserve">Power Limit Set point</t>
  </si>
  <si>
    <r>
      <t>R</t>
    </r>
    <r>
      <rPr>
        <vertAlign val="subscript"/>
        <sz val="14"/>
        <color theme="1"/>
        <rFont val="Arial"/>
      </rPr>
      <t>PLIM</t>
    </r>
  </si>
  <si>
    <t xml:space="preserve">Caclulated value of resistor for PLIM</t>
  </si>
  <si>
    <t xml:space="preserve">Verify if Plimit will be effective over current limit</t>
  </si>
  <si>
    <t xml:space="preserve">Calculations for CURRENT MONITOR</t>
  </si>
  <si>
    <t>VMON_Max</t>
  </si>
  <si>
    <t xml:space="preserve">Maximum allowable voltage at IMON for Maximum Load Current (Max ADC input voltage for IMON)</t>
  </si>
  <si>
    <t>RIMON_cal</t>
  </si>
  <si>
    <t xml:space="preserve">Calculated IMON resistor value</t>
  </si>
  <si>
    <t xml:space="preserve">SELECT THE CLOSEST POSSIBLE RESISTANCE VALUE FOR RIMON</t>
  </si>
  <si>
    <t>RIMON_sel</t>
  </si>
  <si>
    <t xml:space="preserve">Selected closest possible value for IMON resistor</t>
  </si>
  <si>
    <t xml:space="preserve">Verify Voltage at IMON for Maximum Load Current</t>
  </si>
  <si>
    <t xml:space="preserve">Steady state Voltage drop &amp; Power dissipation</t>
  </si>
  <si>
    <t>Parameter</t>
  </si>
  <si>
    <t>Vdrop</t>
  </si>
  <si>
    <r>
      <t xml:space="preserve">Maximum voltage drop across the device at T</t>
    </r>
    <r>
      <rPr>
        <vertAlign val="subscript"/>
        <sz val="14"/>
        <color theme="1"/>
        <rFont val="Arial"/>
      </rPr>
      <t>A</t>
    </r>
    <r>
      <rPr>
        <sz val="14"/>
        <color theme="1"/>
        <rFont val="Arial"/>
      </rPr>
      <t xml:space="preserve"> = 25°C</t>
    </r>
  </si>
  <si>
    <t>mV</t>
  </si>
  <si>
    <t>Pdiss_ss</t>
  </si>
  <si>
    <t xml:space="preserve">Steady state power dissipation with maximum current  at TA = 25°C</t>
  </si>
  <si>
    <t>mW</t>
  </si>
  <si>
    <t xml:space="preserve">Internal FET Parameters</t>
  </si>
  <si>
    <t>Rds(on)</t>
  </si>
  <si>
    <t xml:space="preserve">FET maximum Rds(on) at 25°C</t>
  </si>
  <si>
    <t>mΩ</t>
  </si>
  <si>
    <t>Rds(on)_85degC</t>
  </si>
  <si>
    <t xml:space="preserve">FET maximum Rds(on) at 85°C</t>
  </si>
  <si>
    <t>Rds(on)_125degC</t>
  </si>
  <si>
    <t xml:space="preserve">FET maximum Rds(on) at 125°C</t>
  </si>
  <si>
    <t xml:space="preserve">Internal References</t>
  </si>
  <si>
    <t>V(UVLOR)</t>
  </si>
  <si>
    <t xml:space="preserve">UVLO Threshold Voltage, Rising</t>
  </si>
  <si>
    <t>V(UVLOHys)</t>
  </si>
  <si>
    <t xml:space="preserve">UVLO Hysteresis</t>
  </si>
  <si>
    <t>V(OVPR)</t>
  </si>
  <si>
    <t xml:space="preserve">Over-Voltage Threshold Voltage, Rising</t>
  </si>
  <si>
    <t>I(dVdT)</t>
  </si>
  <si>
    <t xml:space="preserve">dVdT Charging Current</t>
  </si>
  <si>
    <t>GAIN(dVdT)</t>
  </si>
  <si>
    <t xml:space="preserve">dVdT to OUT Gain</t>
  </si>
  <si>
    <t>TdVdT</t>
  </si>
  <si>
    <t xml:space="preserve">Default Start-up Time with dVdT = Open</t>
  </si>
  <si>
    <t>PGTHF</t>
  </si>
  <si>
    <t xml:space="preserve">Rising power good threshold</t>
  </si>
  <si>
    <t>PGTHR</t>
  </si>
  <si>
    <t xml:space="preserve">Falling power good threshold</t>
  </si>
  <si>
    <t>Imon_Gain</t>
  </si>
  <si>
    <t xml:space="preserve">Gain Factor I(IMON):I(OUT)</t>
  </si>
  <si>
    <t>uA/A</t>
  </si>
  <si>
    <t xml:space="preserve">Selection of External FET for Reverse Current Blocking and Reverse Polarity Protection</t>
  </si>
  <si>
    <r>
      <t>V</t>
    </r>
    <r>
      <rPr>
        <vertAlign val="subscript"/>
        <sz val="14"/>
        <color theme="1"/>
        <rFont val="Arial"/>
      </rPr>
      <t>DS</t>
    </r>
  </si>
  <si>
    <t xml:space="preserve">Recommended minimum Drain to Source Voltage</t>
  </si>
  <si>
    <r>
      <t>V</t>
    </r>
    <r>
      <rPr>
        <vertAlign val="subscript"/>
        <sz val="14"/>
        <color theme="1"/>
        <rFont val="Arial"/>
      </rPr>
      <t>GS</t>
    </r>
  </si>
  <si>
    <t xml:space="preserve">Recommended minimum Gate to Source voltage</t>
  </si>
  <si>
    <r>
      <t>I</t>
    </r>
    <r>
      <rPr>
        <vertAlign val="subscript"/>
        <sz val="14"/>
        <color theme="1"/>
        <rFont val="Arial"/>
      </rPr>
      <t>D</t>
    </r>
  </si>
  <si>
    <t xml:space="preserve">Recommended minimum continuous Drain to Source current</t>
  </si>
  <si>
    <t xml:space="preserve">Recommended FET for Input upto 60V and 6A continuous current</t>
  </si>
  <si>
    <t>CSD19537Q3</t>
  </si>
  <si>
    <t xml:space="preserve">Selection of Pull Down Switch for External FET </t>
  </si>
  <si>
    <r>
      <t>V</t>
    </r>
    <r>
      <rPr>
        <vertAlign val="subscript"/>
        <sz val="14"/>
        <color theme="1"/>
        <rFont val="Arial"/>
      </rPr>
      <t xml:space="preserve">GS(th) </t>
    </r>
  </si>
  <si>
    <t xml:space="preserve">Recommended maximum Gate to Source threshold</t>
  </si>
  <si>
    <t xml:space="preserve">Recommended minimum Gate to Source Voltage</t>
  </si>
  <si>
    <r>
      <t>C</t>
    </r>
    <r>
      <rPr>
        <vertAlign val="subscript"/>
        <sz val="14"/>
        <color theme="1"/>
        <rFont val="Arial"/>
      </rPr>
      <t>iss</t>
    </r>
  </si>
  <si>
    <t xml:space="preserve">Recommended maximum Input capacitance</t>
  </si>
  <si>
    <t>pF</t>
  </si>
  <si>
    <t xml:space="preserve">Recommended FET for Pull Down Switch</t>
  </si>
  <si>
    <t xml:space="preserve">BSS138 or 2N7002</t>
  </si>
  <si>
    <t xml:space="preserve">Selection of Components for IEC 61000-4-5 (Surge)</t>
  </si>
  <si>
    <r>
      <t>P</t>
    </r>
    <r>
      <rPr>
        <vertAlign val="subscript"/>
        <sz val="14"/>
        <color theme="1"/>
        <rFont val="Arial"/>
      </rPr>
      <t>LOAD</t>
    </r>
  </si>
  <si>
    <t xml:space="preserve">Enter the output load power</t>
  </si>
  <si>
    <t xml:space="preserve">Recommended minumum Cout for Class-A operation, enter this value in D10 for Class-A operation during Surge</t>
  </si>
  <si>
    <t>uF</t>
  </si>
  <si>
    <t>Cin</t>
  </si>
  <si>
    <t xml:space="preserve">Recommended minimum Cin</t>
  </si>
  <si>
    <t xml:space="preserve">Recommended Input TVS Diode for Level 1 (500V) with Vin(max)&lt; 33V</t>
  </si>
  <si>
    <t>SMCJ33CA</t>
  </si>
  <si>
    <t xml:space="preserve">Recommended Input TVS Diode for Level 2 (1000V) with Vin(max) &lt; 33V</t>
  </si>
  <si>
    <t>5.0SMDJ33CA</t>
  </si>
  <si>
    <t xml:space="preserve">Thermal Shutdown Time (ms) Vs. Power Dissipation (W)</t>
  </si>
  <si>
    <t xml:space="preserve">RGE Package</t>
  </si>
  <si>
    <t xml:space="preserve">Title of Graph</t>
  </si>
  <si>
    <t xml:space="preserve">Thermal Shutdown Time Vs. Power Dissipation</t>
  </si>
  <si>
    <t xml:space="preserve">Power Dissipation (W)</t>
  </si>
  <si>
    <t xml:space="preserve">TA = -40C</t>
  </si>
  <si>
    <t xml:space="preserve">TA = 0C</t>
  </si>
  <si>
    <t xml:space="preserve">TA = 85C</t>
  </si>
  <si>
    <t xml:space="preserve">TA = 125C</t>
  </si>
  <si>
    <t>Lable</t>
  </si>
  <si>
    <t xml:space="preserve">X-Axis </t>
  </si>
  <si>
    <t xml:space="preserve"> Power Dissipation (W)</t>
  </si>
  <si>
    <t>Y-Axis</t>
  </si>
  <si>
    <t xml:space="preserve">Thermal Shutdown time (ms)</t>
  </si>
  <si>
    <t xml:space="preserve">Pd (W)</t>
  </si>
  <si>
    <t xml:space="preserve">Tstart-up (ms)</t>
  </si>
  <si>
    <t xml:space="preserve">Maximum Point</t>
  </si>
  <si>
    <t xml:space="preserve">Operating Point</t>
  </si>
  <si>
    <t xml:space="preserve">PWP Package</t>
  </si>
  <si>
    <t xml:space="preserve">Standard EIA Decade Resistor Values</t>
  </si>
  <si>
    <t xml:space="preserve">0.5%, 0.25%, 0.1%</t>
  </si>
  <si>
    <t>E6</t>
  </si>
  <si>
    <t>E12</t>
  </si>
  <si>
    <t>E24</t>
  </si>
  <si>
    <t>E48</t>
  </si>
  <si>
    <t>E96</t>
  </si>
  <si>
    <t>E192</t>
  </si>
  <si>
    <t xml:space="preserve">Capacitors Lookup Table</t>
  </si>
  <si>
    <r>
      <rPr>
        <b/>
        <sz val="8"/>
        <color indexed="63"/>
        <rFont val="Calibri"/>
      </rPr>
      <t>µ</t>
    </r>
    <r>
      <rPr>
        <b/>
        <sz val="8"/>
        <color indexed="63"/>
        <rFont val="Arial"/>
      </rPr>
      <t>F</t>
    </r>
  </si>
  <si>
    <t>Temperture</t>
  </si>
  <si>
    <t xml:space="preserve">-40 C</t>
  </si>
  <si>
    <t xml:space="preserve">0 C</t>
  </si>
  <si>
    <t xml:space="preserve">25 C</t>
  </si>
  <si>
    <t xml:space="preserve">105 C</t>
  </si>
  <si>
    <t xml:space="preserve">VIN (V)</t>
  </si>
  <si>
    <t>32mF</t>
  </si>
  <si>
    <t>16mF</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</si>
</sst>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0.0"/>
    <numFmt numFmtId="165" formatCode="0.0%"/>
    <numFmt numFmtId="166" formatCode="0.000"/>
  </numFmts>
  <fonts count="23">
    <font>
      <sz val="11.000000"/>
      <color theme="1"/>
      <name val="Calibri"/>
      <scheme val="minor"/>
    </font>
    <font>
      <u/>
      <sz val="11.000000"/>
      <color theme="10"/>
      <name val="Calibri"/>
      <scheme val="minor"/>
    </font>
    <font>
      <b/>
      <sz val="20.000000"/>
      <color theme="1"/>
      <name val="Calibri"/>
      <scheme val="minor"/>
    </font>
    <font>
      <sz val="14.000000"/>
      <color theme="1"/>
      <name val="Arial"/>
    </font>
    <font>
      <sz val="14.000000"/>
      <name val="Arial"/>
    </font>
    <font>
      <b/>
      <sz val="14.000000"/>
      <name val="Arial"/>
    </font>
    <font>
      <b/>
      <i/>
      <sz val="14.000000"/>
      <name val="Arial"/>
    </font>
    <font>
      <b/>
      <sz val="14.000000"/>
      <color theme="1"/>
      <name val="Arial"/>
    </font>
    <font>
      <i/>
      <sz val="14.000000"/>
      <name val="Arial"/>
    </font>
    <font>
      <sz val="14.000000"/>
      <color theme="0"/>
      <name val="Arial"/>
    </font>
    <font>
      <i/>
      <sz val="14.000000"/>
      <color theme="1"/>
      <name val="Arial"/>
    </font>
    <font>
      <u/>
      <sz val="16.000000"/>
      <color theme="10"/>
      <name val="Calibri"/>
      <scheme val="minor"/>
    </font>
    <font>
      <sz val="16.000000"/>
      <name val="Calibri"/>
      <scheme val="minor"/>
    </font>
    <font>
      <b/>
      <sz val="11.000000"/>
      <name val="Arial"/>
    </font>
    <font>
      <b/>
      <sz val="10.000000"/>
      <name val="Arial"/>
    </font>
    <font>
      <b/>
      <sz val="11.000000"/>
      <color theme="1"/>
      <name val="Calibri"/>
      <scheme val="minor"/>
    </font>
    <font>
      <sz val="11.000000"/>
      <color theme="1"/>
      <name val="Calibri"/>
    </font>
    <font>
      <b/>
      <sz val="16.000000"/>
      <color theme="1"/>
      <name val="Calibri"/>
      <scheme val="minor"/>
    </font>
    <font>
      <b/>
      <sz val="24.000000"/>
      <color indexed="63"/>
      <name val="Calibri"/>
    </font>
    <font>
      <b/>
      <sz val="8.000000"/>
      <color indexed="63"/>
      <name val="Arial"/>
    </font>
    <font>
      <sz val="9.000000"/>
      <name val="Verdana"/>
    </font>
    <font>
      <b/>
      <sz val="11.000000"/>
      <name val="Calibri"/>
    </font>
    <font>
      <sz val="11.000000"/>
      <name val="Calibri"/>
    </font>
  </fonts>
  <fills count="24">
    <fill>
      <patternFill patternType="none"/>
    </fill>
    <fill>
      <patternFill patternType="gray125"/>
    </fill>
    <fill>
      <patternFill patternType="solid">
        <fgColor indexed="43"/>
      </patternFill>
    </fill>
    <fill>
      <patternFill patternType="solid">
        <fgColor theme="0" tint="-0.049989318521683403"/>
      </patternFill>
    </fill>
    <fill>
      <patternFill patternType="solid">
        <fgColor theme="2" tint="-0.099978637043366805"/>
      </patternFill>
    </fill>
    <fill>
      <patternFill patternType="solid">
        <fgColor indexed="7"/>
      </patternFill>
    </fill>
    <fill>
      <patternFill patternType="solid">
        <fgColor theme="7" tint="0.39997558519241921"/>
      </patternFill>
    </fill>
    <fill>
      <gradientFill type="path" left="0" right="0" top="0" bottom="0" degree="0">
        <stop position="0">
          <color indexed="7"/>
        </stop>
        <stop position="1">
          <color indexed="5"/>
        </stop>
      </gradientFill>
    </fill>
    <fill>
      <patternFill patternType="solid">
        <fgColor theme="8" tint="0.79998168889431442"/>
      </patternFill>
    </fill>
    <fill>
      <patternFill patternType="solid">
        <fgColor rgb="FFDAE7F6"/>
      </patternFill>
    </fill>
    <fill>
      <patternFill patternType="solid">
        <fgColor rgb="FFB1A0C7"/>
      </patternFill>
    </fill>
    <fill>
      <patternFill patternType="solid">
        <fgColor theme="9" tint="0.79998168889431442"/>
      </patternFill>
    </fill>
    <fill>
      <patternFill patternType="solid">
        <fgColor theme="4" tint="0.79998168889431442"/>
      </patternFill>
    </fill>
    <fill>
      <patternFill patternType="solid">
        <fgColor theme="8" tint="0.39997558519241921"/>
      </patternFill>
    </fill>
    <fill>
      <patternFill patternType="solid">
        <fgColor theme="3" tint="0.39997558519241921"/>
      </patternFill>
    </fill>
    <fill>
      <patternFill patternType="solid">
        <fgColor theme="3" tint="0.79998168889431442"/>
      </patternFill>
    </fill>
    <fill>
      <patternFill patternType="solid">
        <fgColor theme="0" tint="-0.249977111117893"/>
      </patternFill>
    </fill>
    <fill>
      <patternFill patternType="solid">
        <fgColor indexed="5"/>
      </patternFill>
    </fill>
    <fill>
      <patternFill patternType="solid">
        <fgColor theme="9" tint="0.39997558519241921"/>
      </patternFill>
    </fill>
    <fill>
      <patternFill patternType="solid">
        <fgColor theme="5" tint="0.59999389629810485"/>
      </patternFill>
    </fill>
    <fill>
      <patternFill patternType="solid">
        <fgColor theme="2" tint="-0.249977111117893"/>
      </patternFill>
    </fill>
    <fill>
      <patternFill patternType="solid">
        <fgColor theme="6" tint="0.59999389629810485"/>
      </patternFill>
    </fill>
    <fill>
      <patternFill patternType="solid">
        <fgColor theme="7" tint="0.59999389629810485"/>
      </patternFill>
    </fill>
    <fill>
      <patternFill patternType="solid">
        <fgColor indexed="26"/>
      </patternFill>
    </fill>
  </fills>
  <borders count="29">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none"/>
      <bottom style="none"/>
      <diagonal style="none"/>
    </border>
    <border>
      <left style="thin">
        <color auto="1"/>
      </left>
      <right style="medium">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thin">
        <color auto="1"/>
      </top>
      <bottom style="thin">
        <color auto="1"/>
      </bottom>
      <diagonal style="none"/>
    </border>
    <border>
      <left style="medium">
        <color auto="1"/>
      </left>
      <right style="none"/>
      <top style="none"/>
      <bottom style="thin">
        <color auto="1"/>
      </bottom>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medium">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none"/>
      <right style="none"/>
      <top style="none"/>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none"/>
      <right style="thin">
        <color auto="1"/>
      </right>
      <top style="none"/>
      <bottom style="none"/>
      <diagonal style="none"/>
    </border>
    <border>
      <left style="none"/>
      <right style="thin">
        <color auto="1"/>
      </right>
      <top style="none"/>
      <bottom style="thin">
        <color auto="1"/>
      </bottom>
      <diagonal style="none"/>
    </border>
    <border>
      <left style="medium">
        <color auto="1"/>
      </left>
      <right style="medium">
        <color auto="1"/>
      </right>
      <top style="medium">
        <color auto="1"/>
      </top>
      <bottom style="medium">
        <color auto="1"/>
      </bottom>
      <diagonal style="none"/>
    </border>
    <border>
      <left style="medium">
        <color auto="1"/>
      </left>
      <right style="none"/>
      <top style="none"/>
      <bottom style="medium">
        <color auto="1"/>
      </bottom>
      <diagonal style="none"/>
    </border>
  </borders>
  <cellStyleXfs count="3">
    <xf fontId="0" fillId="0" borderId="0" numFmtId="0" applyNumberFormat="1" applyFont="1" applyFill="1" applyBorder="1"/>
    <xf fontId="1" fillId="0" borderId="0" numFmtId="0" applyNumberFormat="0" applyFont="1" applyFill="0" applyBorder="0" applyProtection="0"/>
    <xf fontId="0" fillId="0" borderId="0" numFmtId="9" applyNumberFormat="1" applyFont="0" applyFill="0" applyBorder="0" applyProtection="0"/>
  </cellStyleXfs>
  <cellXfs count="171">
    <xf fontId="0" fillId="0" borderId="0" numFmtId="0" xfId="0"/>
    <xf fontId="2" fillId="2" borderId="0" numFmtId="0" xfId="0" applyFont="1" applyFill="1" applyAlignment="1" applyProtection="1">
      <alignment horizontal="center"/>
    </xf>
    <xf fontId="0" fillId="3" borderId="0" numFmtId="0" xfId="0" applyFill="1" applyAlignment="1" applyProtection="1">
      <alignment horizontal="left" vertical="top" wrapText="1"/>
    </xf>
    <xf fontId="0" fillId="0" borderId="0" numFmtId="0" xfId="0" applyAlignment="1" applyProtection="1">
      <alignment horizontal="left" vertical="top" wrapText="1"/>
    </xf>
    <xf fontId="0" fillId="0" borderId="0" numFmtId="0" xfId="0" applyAlignment="1">
      <alignment horizontal="left" vertical="top" wrapText="1"/>
    </xf>
    <xf fontId="0" fillId="0" borderId="0" numFmtId="0" xfId="0" applyProtection="1"/>
    <xf fontId="3" fillId="0" borderId="0" numFmtId="0" xfId="0" applyFont="1" applyAlignment="1">
      <alignment vertical="center"/>
    </xf>
    <xf fontId="3" fillId="0" borderId="0" numFmtId="0" xfId="0" applyFont="1" applyAlignment="1">
      <alignment horizontal="left" vertical="center"/>
    </xf>
    <xf fontId="3" fillId="0" borderId="0" numFmtId="0" xfId="0" applyFont="1" applyAlignment="1" applyProtection="1">
      <alignment horizontal="left" vertical="center"/>
    </xf>
    <xf fontId="3" fillId="0" borderId="0" numFmtId="2" xfId="0" applyNumberFormat="1" applyFont="1" applyAlignment="1">
      <alignment horizontal="center" vertical="center"/>
    </xf>
    <xf fontId="3" fillId="0" borderId="0" numFmtId="0" xfId="0" applyFont="1" applyAlignment="1">
      <alignment horizontal="center" vertical="center"/>
    </xf>
    <xf fontId="3" fillId="0" borderId="0" numFmtId="2" xfId="0" applyNumberFormat="1" applyFont="1" applyAlignment="1">
      <alignment vertical="center"/>
    </xf>
    <xf fontId="4" fillId="0" borderId="0" numFmtId="0" xfId="0" applyFont="1" applyAlignment="1" applyProtection="1">
      <alignment horizontal="left" vertical="center"/>
    </xf>
    <xf fontId="3" fillId="0" borderId="0" numFmtId="2" xfId="0" applyNumberFormat="1" applyFont="1" applyAlignment="1" applyProtection="1">
      <alignment horizontal="center" vertical="center"/>
    </xf>
    <xf fontId="3" fillId="0" borderId="0" numFmtId="0" xfId="0" applyFont="1" applyAlignment="1" applyProtection="1">
      <alignment horizontal="center" vertical="center"/>
    </xf>
    <xf fontId="4" fillId="4" borderId="1" numFmtId="2" xfId="0" applyNumberFormat="1" applyFont="1" applyFill="1" applyBorder="1" applyAlignment="1" applyProtection="1">
      <alignment horizontal="center" vertical="center"/>
    </xf>
    <xf fontId="3" fillId="2" borderId="0" numFmtId="0" xfId="0" applyFont="1" applyFill="1" applyAlignment="1" applyProtection="1">
      <alignment horizontal="left" vertical="center"/>
    </xf>
    <xf fontId="4" fillId="5" borderId="1" numFmtId="2" xfId="0" applyNumberFormat="1" applyFont="1" applyFill="1" applyBorder="1" applyAlignment="1" applyProtection="1">
      <alignment horizontal="center" vertical="center"/>
    </xf>
    <xf fontId="3" fillId="6" borderId="2" numFmtId="0" xfId="0" applyFont="1" applyFill="1" applyBorder="1" applyAlignment="1" applyProtection="1">
      <alignment horizontal="center" vertical="center"/>
    </xf>
    <xf fontId="3" fillId="6" borderId="0" numFmtId="0" xfId="0" applyFont="1" applyFill="1" applyAlignment="1" applyProtection="1">
      <alignment horizontal="center" vertical="center"/>
    </xf>
    <xf fontId="3" fillId="7" borderId="0" numFmtId="0" xfId="0" applyFont="1" applyFill="1" applyAlignment="1" applyProtection="1">
      <alignment horizontal="left" vertical="center" wrapText="1"/>
    </xf>
    <xf fontId="5" fillId="3" borderId="1" numFmtId="0" xfId="0" applyFont="1" applyFill="1" applyBorder="1" applyAlignment="1" applyProtection="1">
      <alignment horizontal="left" vertical="center"/>
    </xf>
    <xf fontId="5" fillId="3" borderId="1" numFmtId="2" xfId="0" applyNumberFormat="1" applyFont="1" applyFill="1" applyBorder="1" applyAlignment="1" applyProtection="1">
      <alignment horizontal="center" vertical="center"/>
    </xf>
    <xf fontId="5" fillId="3" borderId="3" numFmtId="0" xfId="0" applyFont="1" applyFill="1" applyBorder="1" applyAlignment="1" applyProtection="1">
      <alignment horizontal="center" vertical="center"/>
    </xf>
    <xf fontId="5" fillId="3" borderId="1" numFmtId="0" xfId="0" applyFont="1" applyFill="1" applyBorder="1" applyAlignment="1" applyProtection="1">
      <alignment horizontal="center" vertical="center"/>
    </xf>
    <xf fontId="4" fillId="2" borderId="1" numFmtId="0" xfId="0" applyFont="1" applyFill="1" applyBorder="1" applyAlignment="1" applyProtection="1">
      <alignment horizontal="left" vertical="center"/>
    </xf>
    <xf fontId="4" fillId="2" borderId="1" numFmtId="2" xfId="0" applyNumberFormat="1" applyFont="1" applyFill="1" applyBorder="1" applyAlignment="1" applyProtection="1">
      <alignment horizontal="center" vertical="center"/>
      <protection locked="0"/>
    </xf>
    <xf fontId="4" fillId="8" borderId="4" numFmtId="0" xfId="0" applyFont="1" applyFill="1" applyBorder="1" applyAlignment="1" applyProtection="1">
      <alignment horizontal="center" vertical="center"/>
    </xf>
    <xf fontId="4" fillId="8" borderId="1" numFmtId="0" xfId="0" applyFont="1" applyFill="1" applyBorder="1" applyAlignment="1" applyProtection="1">
      <alignment horizontal="center" vertical="center"/>
    </xf>
    <xf fontId="3" fillId="2" borderId="1" numFmtId="0" xfId="0" applyFont="1" applyFill="1" applyBorder="1" applyAlignment="1" applyProtection="1">
      <alignment horizontal="left" vertical="center"/>
    </xf>
    <xf fontId="4" fillId="2" borderId="1" numFmtId="164" xfId="0" applyNumberFormat="1" applyFont="1" applyFill="1" applyBorder="1" applyAlignment="1" applyProtection="1">
      <alignment horizontal="center" vertical="center"/>
      <protection locked="0"/>
    </xf>
    <xf fontId="3" fillId="8" borderId="1" numFmtId="0" xfId="0" applyFont="1" applyFill="1" applyBorder="1" applyAlignment="1" applyProtection="1">
      <alignment horizontal="center" vertical="center"/>
    </xf>
    <xf fontId="3" fillId="8" borderId="1" numFmtId="165" xfId="2" applyNumberFormat="1" applyFont="1" applyFill="1" applyBorder="1" applyAlignment="1" applyProtection="1">
      <alignment horizontal="center" vertical="center"/>
    </xf>
    <xf fontId="3" fillId="2" borderId="1" numFmtId="9" xfId="2" applyNumberFormat="1" applyFont="1" applyFill="1" applyBorder="1" applyAlignment="1" applyProtection="1">
      <alignment horizontal="center" vertical="center"/>
    </xf>
    <xf fontId="4" fillId="2" borderId="1" numFmtId="1" xfId="0" applyNumberFormat="1" applyFont="1" applyFill="1" applyBorder="1" applyAlignment="1" applyProtection="1">
      <alignment horizontal="center" vertical="center"/>
      <protection locked="0"/>
    </xf>
    <xf fontId="4" fillId="2" borderId="5" numFmtId="164" xfId="0" applyNumberFormat="1" applyFont="1" applyFill="1" applyBorder="1" applyAlignment="1" applyProtection="1">
      <alignment horizontal="center" vertical="center"/>
      <protection locked="0"/>
    </xf>
    <xf fontId="3" fillId="2" borderId="6" numFmtId="0" xfId="0" applyFont="1" applyFill="1" applyBorder="1" applyAlignment="1" applyProtection="1">
      <alignment horizontal="left" vertical="center"/>
    </xf>
    <xf fontId="3" fillId="2" borderId="7" numFmtId="0" xfId="0" applyFont="1" applyFill="1" applyBorder="1" applyAlignment="1" applyProtection="1">
      <alignment horizontal="left" vertical="center"/>
    </xf>
    <xf fontId="3" fillId="8" borderId="8" numFmtId="0" xfId="0" applyFont="1" applyFill="1" applyBorder="1" applyAlignment="1" applyProtection="1">
      <alignment horizontal="center" vertical="center"/>
    </xf>
    <xf fontId="3" fillId="7" borderId="6" numFmtId="0" xfId="0" applyFont="1" applyFill="1" applyBorder="1" applyAlignment="1" applyProtection="1">
      <alignment horizontal="left" vertical="center"/>
    </xf>
    <xf fontId="3" fillId="7" borderId="9" numFmtId="0" xfId="0" applyFont="1" applyFill="1" applyBorder="1" applyAlignment="1" applyProtection="1">
      <alignment horizontal="left" vertical="center"/>
    </xf>
    <xf fontId="4" fillId="7" borderId="1" numFmtId="2" xfId="0" applyNumberFormat="1" applyFont="1" applyFill="1" applyBorder="1" applyAlignment="1" applyProtection="1">
      <alignment horizontal="center" vertical="center"/>
      <protection locked="0"/>
    </xf>
    <xf fontId="6" fillId="3" borderId="1" numFmtId="0" xfId="0" applyFont="1" applyFill="1" applyBorder="1" applyAlignment="1" applyProtection="1">
      <alignment horizontal="left" vertical="center"/>
    </xf>
    <xf fontId="6" fillId="3" borderId="1" numFmtId="0" xfId="0" applyFont="1" applyFill="1" applyBorder="1" applyAlignment="1" applyProtection="1">
      <alignment horizontal="left" vertical="center" wrapText="1"/>
    </xf>
    <xf fontId="6" fillId="3" borderId="1" numFmtId="2" xfId="0" applyNumberFormat="1" applyFont="1" applyFill="1" applyBorder="1" applyAlignment="1" applyProtection="1">
      <alignment horizontal="center" vertical="center" wrapText="1"/>
    </xf>
    <xf fontId="6" fillId="3" borderId="1" numFmtId="0" xfId="0" applyFont="1" applyFill="1" applyBorder="1" applyAlignment="1" applyProtection="1">
      <alignment horizontal="center" vertical="center" wrapText="1"/>
    </xf>
    <xf fontId="4" fillId="2" borderId="1" numFmtId="164" xfId="0" applyNumberFormat="1" applyFont="1" applyFill="1" applyBorder="1" applyAlignment="1" applyProtection="1">
      <alignment horizontal="center" vertical="center"/>
    </xf>
    <xf fontId="3" fillId="2" borderId="1" numFmtId="165" xfId="2" applyNumberFormat="1" applyFont="1" applyFill="1" applyBorder="1" applyAlignment="1" applyProtection="1">
      <alignment horizontal="center" vertical="center"/>
    </xf>
    <xf fontId="3" fillId="9" borderId="1" numFmtId="0" xfId="0" applyFont="1" applyFill="1" applyBorder="1" applyAlignment="1" applyProtection="1">
      <alignment horizontal="left" vertical="center"/>
    </xf>
    <xf fontId="4" fillId="5" borderId="1" numFmtId="164" xfId="0" applyNumberFormat="1" applyFont="1" applyFill="1" applyBorder="1" applyAlignment="1" applyProtection="1">
      <alignment horizontal="center" vertical="center"/>
    </xf>
    <xf fontId="4" fillId="8" borderId="1" numFmtId="165" xfId="2" applyNumberFormat="1" applyFont="1" applyFill="1" applyBorder="1" applyAlignment="1" applyProtection="1">
      <alignment horizontal="center" vertical="center"/>
    </xf>
    <xf fontId="3" fillId="0" borderId="0" numFmtId="2" xfId="0" applyNumberFormat="1" applyFont="1" applyAlignment="1">
      <alignment vertical="center" wrapText="1"/>
    </xf>
    <xf fontId="3" fillId="10" borderId="1" numFmtId="0" xfId="0" applyFont="1" applyFill="1" applyBorder="1" applyAlignment="1" applyProtection="1">
      <alignment horizontal="left" vertical="center"/>
    </xf>
    <xf fontId="3" fillId="11" borderId="1" numFmtId="0" xfId="0" applyFont="1" applyFill="1" applyBorder="1" applyAlignment="1" applyProtection="1">
      <alignment horizontal="left" vertical="center"/>
    </xf>
    <xf fontId="4" fillId="11" borderId="1" numFmtId="2" xfId="0" applyNumberFormat="1" applyFont="1" applyFill="1" applyBorder="1" applyAlignment="1" applyProtection="1">
      <alignment horizontal="center" vertical="center"/>
    </xf>
    <xf fontId="4" fillId="8" borderId="1" numFmtId="2" xfId="0" applyNumberFormat="1" applyFont="1" applyFill="1" applyBorder="1" applyAlignment="1" applyProtection="1">
      <alignment horizontal="center" vertical="center"/>
    </xf>
    <xf fontId="3" fillId="7" borderId="1" numFmtId="0" xfId="0" applyFont="1" applyFill="1" applyBorder="1" applyAlignment="1" applyProtection="1">
      <alignment horizontal="left" vertical="center"/>
    </xf>
    <xf fontId="4" fillId="7" borderId="1" numFmtId="165" xfId="2" applyNumberFormat="1" applyFont="1" applyFill="1" applyBorder="1" applyAlignment="1" applyProtection="1">
      <alignment horizontal="center" vertical="center"/>
      <protection locked="0"/>
    </xf>
    <xf fontId="3" fillId="0" borderId="0" numFmtId="0" xfId="0" applyFont="1" applyAlignment="1">
      <alignment horizontal="right" vertical="center"/>
    </xf>
    <xf fontId="3" fillId="0" borderId="0" numFmtId="2" xfId="0" applyNumberFormat="1" applyFont="1" applyAlignment="1">
      <alignment horizontal="left" vertical="center"/>
    </xf>
    <xf fontId="3" fillId="12" borderId="1" numFmtId="0" xfId="0" applyFont="1" applyFill="1" applyBorder="1" applyAlignment="1" applyProtection="1">
      <alignment horizontal="left" vertical="center"/>
    </xf>
    <xf fontId="4" fillId="5" borderId="1" numFmtId="165" xfId="2" applyNumberFormat="1" applyFont="1" applyFill="1" applyBorder="1" applyAlignment="1" applyProtection="1">
      <alignment horizontal="center" vertical="center"/>
    </xf>
    <xf fontId="3" fillId="6" borderId="1" numFmtId="0" xfId="0" applyFont="1" applyFill="1" applyBorder="1" applyAlignment="1" applyProtection="1">
      <alignment horizontal="left" vertical="center"/>
    </xf>
    <xf fontId="3" fillId="5" borderId="1" numFmtId="9" xfId="2" applyNumberFormat="1" applyFont="1" applyFill="1" applyBorder="1" applyAlignment="1" applyProtection="1">
      <alignment horizontal="center" vertical="center"/>
    </xf>
    <xf fontId="3" fillId="11" borderId="1" numFmtId="2" xfId="0" applyNumberFormat="1" applyFont="1" applyFill="1" applyBorder="1" applyAlignment="1" applyProtection="1">
      <alignment horizontal="center" vertical="center"/>
    </xf>
    <xf fontId="3" fillId="5" borderId="1" numFmtId="165" xfId="2" applyNumberFormat="1" applyFont="1" applyFill="1" applyBorder="1" applyAlignment="1" applyProtection="1">
      <alignment horizontal="center" vertical="center"/>
    </xf>
    <xf fontId="3" fillId="0" borderId="0" numFmtId="9" xfId="0" applyNumberFormat="1" applyFont="1" applyAlignment="1">
      <alignment vertical="center"/>
    </xf>
    <xf fontId="4" fillId="4" borderId="1" numFmtId="164" xfId="0" applyNumberFormat="1" applyFont="1" applyFill="1" applyBorder="1" applyAlignment="1" applyProtection="1">
      <alignment horizontal="center" vertical="center"/>
    </xf>
    <xf fontId="3" fillId="5" borderId="1" numFmtId="164" xfId="0" applyNumberFormat="1" applyFont="1" applyFill="1" applyBorder="1" applyAlignment="1" applyProtection="1">
      <alignment horizontal="center" vertical="center"/>
    </xf>
    <xf fontId="3" fillId="5" borderId="1" numFmtId="166" xfId="0" applyNumberFormat="1" applyFont="1" applyFill="1" applyBorder="1" applyAlignment="1" applyProtection="1">
      <alignment horizontal="center" vertical="center"/>
    </xf>
    <xf fontId="3" fillId="0" borderId="0" numFmtId="10" xfId="0" applyNumberFormat="1" applyFont="1" applyAlignment="1">
      <alignment vertical="center"/>
    </xf>
    <xf fontId="3" fillId="11" borderId="4" numFmtId="0" xfId="0" applyFont="1" applyFill="1" applyBorder="1" applyAlignment="1" applyProtection="1">
      <alignment horizontal="left" vertical="center"/>
    </xf>
    <xf fontId="3" fillId="11" borderId="8" numFmtId="0" xfId="0" applyFont="1" applyFill="1" applyBorder="1" applyAlignment="1" applyProtection="1">
      <alignment horizontal="left" vertical="center"/>
    </xf>
    <xf fontId="4" fillId="2" borderId="1" numFmtId="166" xfId="0" applyNumberFormat="1" applyFont="1" applyFill="1" applyBorder="1" applyAlignment="1" applyProtection="1">
      <alignment horizontal="center" vertical="center"/>
      <protection locked="0"/>
    </xf>
    <xf fontId="4" fillId="2" borderId="1" numFmtId="9" xfId="2" applyNumberFormat="1" applyFont="1" applyFill="1" applyBorder="1" applyAlignment="1" applyProtection="1">
      <alignment horizontal="center" vertical="center"/>
      <protection locked="0"/>
    </xf>
    <xf fontId="4" fillId="5" borderId="1" numFmtId="1" xfId="0" applyNumberFormat="1" applyFont="1" applyFill="1" applyBorder="1" applyAlignment="1" applyProtection="1">
      <alignment horizontal="center" vertical="center"/>
    </xf>
    <xf fontId="3" fillId="8" borderId="1" numFmtId="0" xfId="0" applyFont="1" applyFill="1" applyBorder="1" applyAlignment="1" applyProtection="1">
      <alignment horizontal="left" vertical="center"/>
    </xf>
    <xf fontId="3" fillId="3" borderId="1" numFmtId="0" xfId="0" applyFont="1" applyFill="1" applyBorder="1" applyAlignment="1">
      <alignment horizontal="center" vertical="center"/>
    </xf>
    <xf fontId="7" fillId="8" borderId="1" numFmtId="0" xfId="0" applyFont="1" applyFill="1" applyBorder="1" applyAlignment="1" applyProtection="1">
      <alignment horizontal="center" vertical="center"/>
    </xf>
    <xf fontId="4" fillId="0" borderId="0" numFmtId="2" xfId="0" applyNumberFormat="1" applyFont="1" applyAlignment="1" applyProtection="1">
      <alignment horizontal="center" vertical="center"/>
    </xf>
    <xf fontId="4" fillId="0" borderId="0" numFmtId="0" xfId="0" applyFont="1" applyAlignment="1" applyProtection="1">
      <alignment horizontal="center" vertical="center"/>
    </xf>
    <xf fontId="4" fillId="0" borderId="0" numFmtId="165" xfId="2" applyNumberFormat="1" applyFont="1" applyAlignment="1" applyProtection="1">
      <alignment horizontal="center" vertical="center"/>
    </xf>
    <xf fontId="4" fillId="5" borderId="1" numFmtId="0" xfId="0" applyFont="1" applyFill="1" applyBorder="1" applyAlignment="1" applyProtection="1">
      <alignment horizontal="center" vertical="center"/>
    </xf>
    <xf fontId="8" fillId="13" borderId="1" numFmtId="0" xfId="0" applyFont="1" applyFill="1" applyBorder="1" applyAlignment="1" applyProtection="1">
      <alignment horizontal="left" vertical="center" wrapText="1"/>
    </xf>
    <xf fontId="3" fillId="13" borderId="1" numFmtId="0" xfId="0" applyFont="1" applyFill="1" applyBorder="1" applyAlignment="1" applyProtection="1">
      <alignment horizontal="center" vertical="center"/>
    </xf>
    <xf fontId="3" fillId="2" borderId="1" numFmtId="0" xfId="0" applyFont="1" applyFill="1" applyBorder="1" applyAlignment="1" applyProtection="1">
      <alignment horizontal="center" vertical="center"/>
      <protection locked="0"/>
    </xf>
    <xf fontId="4" fillId="0" borderId="1" numFmtId="2" xfId="0" applyNumberFormat="1" applyFont="1" applyBorder="1" applyAlignment="1" applyProtection="1">
      <alignment horizontal="center" vertical="center"/>
    </xf>
    <xf fontId="8" fillId="13" borderId="1" numFmtId="0" xfId="0" applyFont="1" applyFill="1" applyBorder="1" applyAlignment="1" applyProtection="1">
      <alignment horizontal="center" vertical="center" wrapText="1"/>
    </xf>
    <xf fontId="9" fillId="14" borderId="1" numFmtId="0" xfId="0" applyFont="1" applyFill="1" applyBorder="1" applyAlignment="1" applyProtection="1">
      <alignment horizontal="left" vertical="center"/>
    </xf>
    <xf fontId="9" fillId="14" borderId="1" numFmtId="2" xfId="0" applyNumberFormat="1" applyFont="1" applyFill="1" applyBorder="1" applyAlignment="1" applyProtection="1">
      <alignment horizontal="center" vertical="center"/>
    </xf>
    <xf fontId="9" fillId="14" borderId="1" numFmtId="0" xfId="0" applyFont="1" applyFill="1" applyBorder="1" applyAlignment="1" applyProtection="1">
      <alignment horizontal="center" vertical="center"/>
    </xf>
    <xf fontId="10" fillId="0" borderId="0" numFmtId="0" xfId="0" applyFont="1" applyAlignment="1" applyProtection="1">
      <alignment horizontal="left" vertical="center"/>
    </xf>
    <xf fontId="4" fillId="15" borderId="1" numFmtId="0" xfId="0" applyFont="1" applyFill="1" applyBorder="1" applyAlignment="1" applyProtection="1">
      <alignment horizontal="left" vertical="center"/>
    </xf>
    <xf fontId="4" fillId="15" borderId="1" numFmtId="2" xfId="0" applyNumberFormat="1" applyFont="1" applyFill="1" applyBorder="1" applyAlignment="1" applyProtection="1">
      <alignment horizontal="center" vertical="center"/>
    </xf>
    <xf fontId="4" fillId="15" borderId="1" numFmtId="0" xfId="0" applyFont="1" applyFill="1" applyBorder="1" applyAlignment="1" applyProtection="1">
      <alignment horizontal="center" vertical="center"/>
    </xf>
    <xf fontId="4" fillId="4" borderId="1" numFmtId="1" xfId="0" applyNumberFormat="1" applyFont="1" applyFill="1" applyBorder="1" applyAlignment="1" applyProtection="1">
      <alignment horizontal="center" vertical="center"/>
    </xf>
    <xf fontId="3" fillId="12" borderId="10" numFmtId="0" xfId="0" applyFont="1" applyFill="1" applyBorder="1" applyAlignment="1" applyProtection="1">
      <alignment horizontal="left" vertical="center"/>
    </xf>
    <xf fontId="3" fillId="12" borderId="11" numFmtId="0" xfId="0" applyFont="1" applyFill="1" applyBorder="1" applyAlignment="1" applyProtection="1">
      <alignment horizontal="left" vertical="center"/>
    </xf>
    <xf fontId="4" fillId="4" borderId="11" numFmtId="2" xfId="0" applyNumberFormat="1" applyFont="1" applyFill="1" applyBorder="1" applyAlignment="1" applyProtection="1">
      <alignment horizontal="center" vertical="center"/>
    </xf>
    <xf fontId="3" fillId="8" borderId="11" numFmtId="0" xfId="0" applyFont="1" applyFill="1" applyBorder="1" applyAlignment="1" applyProtection="1">
      <alignment horizontal="center" vertical="center"/>
    </xf>
    <xf fontId="3" fillId="8" borderId="12" numFmtId="165" xfId="2" applyNumberFormat="1" applyFont="1" applyFill="1" applyBorder="1" applyAlignment="1" applyProtection="1" quotePrefix="1">
      <alignment horizontal="center" vertical="center"/>
    </xf>
    <xf fontId="3" fillId="12" borderId="13" numFmtId="0" xfId="0" applyFont="1" applyFill="1" applyBorder="1" applyAlignment="1" applyProtection="1">
      <alignment horizontal="left" vertical="center"/>
    </xf>
    <xf fontId="3" fillId="8" borderId="3" numFmtId="165" xfId="2" applyNumberFormat="1" applyFont="1" applyFill="1" applyBorder="1" applyAlignment="1" applyProtection="1">
      <alignment horizontal="center" vertical="center"/>
    </xf>
    <xf fontId="3" fillId="12" borderId="1" numFmtId="0" xfId="0" applyFont="1" applyFill="1" applyBorder="1" applyAlignment="1" applyProtection="1">
      <alignment horizontal="left" vertical="center" wrapText="1"/>
    </xf>
    <xf fontId="3" fillId="12" borderId="14" numFmtId="0" xfId="0" applyFont="1" applyFill="1" applyBorder="1" applyAlignment="1" applyProtection="1">
      <alignment horizontal="left" vertical="center"/>
    </xf>
    <xf fontId="3" fillId="12" borderId="5" numFmtId="0" xfId="0" applyFont="1" applyFill="1" applyBorder="1" applyAlignment="1" applyProtection="1">
      <alignment horizontal="left" vertical="center"/>
    </xf>
    <xf fontId="4" fillId="4" borderId="5" numFmtId="2" xfId="0" applyNumberFormat="1" applyFont="1" applyFill="1" applyBorder="1" applyAlignment="1" applyProtection="1">
      <alignment horizontal="center" vertical="center"/>
    </xf>
    <xf fontId="3" fillId="8" borderId="5" numFmtId="0" xfId="0" applyFont="1" applyFill="1" applyBorder="1" applyAlignment="1" applyProtection="1">
      <alignment horizontal="center" vertical="center"/>
    </xf>
    <xf fontId="3" fillId="8" borderId="15" numFmtId="165" xfId="2" applyNumberFormat="1" applyFont="1" applyFill="1" applyBorder="1" applyAlignment="1" applyProtection="1">
      <alignment horizontal="center" vertical="center"/>
    </xf>
    <xf fontId="3" fillId="12" borderId="16" numFmtId="0" xfId="0" applyFont="1" applyFill="1" applyBorder="1" applyAlignment="1" applyProtection="1">
      <alignment horizontal="left" vertical="center"/>
    </xf>
    <xf fontId="3" fillId="12" borderId="17" numFmtId="0" xfId="0" applyFont="1" applyFill="1" applyBorder="1" applyAlignment="1" applyProtection="1">
      <alignment horizontal="left" vertical="center"/>
    </xf>
    <xf fontId="4" fillId="4" borderId="17" numFmtId="2" xfId="0" applyNumberFormat="1" applyFont="1" applyFill="1" applyBorder="1" applyAlignment="1" applyProtection="1">
      <alignment horizontal="center" vertical="center"/>
    </xf>
    <xf fontId="3" fillId="8" borderId="17" numFmtId="0" xfId="0" applyFont="1" applyFill="1" applyBorder="1" applyAlignment="1" applyProtection="1">
      <alignment horizontal="center" vertical="center"/>
    </xf>
    <xf fontId="3" fillId="8" borderId="18" numFmtId="165" xfId="2" applyNumberFormat="1" applyFont="1" applyFill="1" applyBorder="1" applyAlignment="1" applyProtection="1">
      <alignment horizontal="center" vertical="center"/>
    </xf>
    <xf fontId="7" fillId="0" borderId="0" numFmtId="0" xfId="0" applyFont="1" applyAlignment="1" applyProtection="1">
      <alignment horizontal="left" vertical="center"/>
    </xf>
    <xf fontId="7" fillId="16" borderId="13" numFmtId="0" xfId="0" applyFont="1" applyFill="1" applyBorder="1" applyAlignment="1" applyProtection="1">
      <alignment horizontal="left" vertical="center"/>
    </xf>
    <xf fontId="3" fillId="16" borderId="1" numFmtId="0" xfId="0" applyFont="1" applyFill="1" applyBorder="1" applyAlignment="1" applyProtection="1">
      <alignment horizontal="left" vertical="center" wrapText="1"/>
    </xf>
    <xf fontId="11" fillId="16" borderId="1" numFmtId="2" xfId="1" applyNumberFormat="1" applyFont="1" applyFill="1" applyBorder="1" applyAlignment="1" applyProtection="1">
      <alignment horizontal="center" vertical="center"/>
    </xf>
    <xf fontId="3" fillId="16" borderId="1" numFmtId="0" xfId="0" applyFont="1" applyFill="1" applyBorder="1" applyAlignment="1" applyProtection="1">
      <alignment horizontal="center" vertical="center"/>
    </xf>
    <xf fontId="3" fillId="16" borderId="3" numFmtId="165" xfId="2" applyNumberFormat="1" applyFont="1" applyFill="1" applyBorder="1" applyAlignment="1" applyProtection="1">
      <alignment horizontal="center" vertical="center"/>
    </xf>
    <xf fontId="12" fillId="16" borderId="1" numFmtId="2" xfId="1" applyNumberFormat="1" applyFont="1" applyFill="1" applyBorder="1" applyAlignment="1" applyProtection="1">
      <alignment horizontal="center" vertical="center"/>
    </xf>
    <xf fontId="3" fillId="2" borderId="10" numFmtId="0" xfId="0" applyFont="1" applyFill="1" applyBorder="1" applyAlignment="1" applyProtection="1">
      <alignment horizontal="left" vertical="center"/>
    </xf>
    <xf fontId="3" fillId="2" borderId="11" numFmtId="0" xfId="0" applyFont="1" applyFill="1" applyBorder="1" applyAlignment="1" applyProtection="1">
      <alignment horizontal="left" vertical="center"/>
    </xf>
    <xf fontId="4" fillId="2" borderId="11" numFmtId="2" xfId="0" applyNumberFormat="1" applyFont="1" applyFill="1" applyBorder="1" applyAlignment="1" applyProtection="1">
      <alignment horizontal="center" vertical="center"/>
      <protection locked="0"/>
    </xf>
    <xf fontId="0" fillId="0" borderId="0" numFmtId="0" xfId="0" applyAlignment="1" applyProtection="1">
      <alignment horizontal="center"/>
    </xf>
    <xf fontId="13" fillId="17" borderId="19" numFmtId="0" xfId="0" applyFont="1" applyFill="1" applyBorder="1" applyAlignment="1" applyProtection="1">
      <alignment horizontal="left"/>
    </xf>
    <xf fontId="13" fillId="17" borderId="19" numFmtId="0" xfId="0" applyFont="1" applyFill="1" applyBorder="1" applyAlignment="1" applyProtection="1">
      <alignment horizontal="center"/>
    </xf>
    <xf fontId="13" fillId="17" borderId="0" numFmtId="0" xfId="0" applyFont="1" applyFill="1" applyAlignment="1" applyProtection="1">
      <alignment horizontal="center"/>
    </xf>
    <xf fontId="0" fillId="17" borderId="0" numFmtId="0" xfId="0" applyFill="1" applyProtection="1"/>
    <xf fontId="14" fillId="17" borderId="19" numFmtId="0" xfId="0" applyFont="1" applyFill="1" applyBorder="1" applyAlignment="1" applyProtection="1">
      <alignment horizontal="left" indent="1"/>
    </xf>
    <xf fontId="0" fillId="17" borderId="19" numFmtId="0" xfId="0" applyFill="1" applyBorder="1" applyProtection="1"/>
    <xf fontId="5" fillId="17" borderId="19" numFmtId="0" xfId="0" applyFont="1" applyFill="1" applyBorder="1" applyAlignment="1" applyProtection="1">
      <alignment horizontal="center"/>
    </xf>
    <xf fontId="14" fillId="0" borderId="20" numFmtId="0" xfId="0" applyFont="1" applyBorder="1" applyAlignment="1" applyProtection="1">
      <alignment horizontal="center" vertical="center"/>
    </xf>
    <xf fontId="14" fillId="0" borderId="21" numFmtId="0" xfId="0" applyFont="1" applyBorder="1" applyAlignment="1" applyProtection="1">
      <alignment horizontal="center" vertical="center"/>
    </xf>
    <xf fontId="0" fillId="0" borderId="0" numFmtId="0" xfId="0" applyAlignment="1" applyProtection="1">
      <alignment horizontal="left" indent="1"/>
    </xf>
    <xf fontId="0" fillId="0" borderId="0" numFmtId="2" xfId="0" applyNumberFormat="1" applyAlignment="1" applyProtection="1">
      <alignment horizontal="center"/>
    </xf>
    <xf fontId="0" fillId="18" borderId="0" numFmtId="0" xfId="0" applyFill="1" applyProtection="1"/>
    <xf fontId="15" fillId="0" borderId="0" numFmtId="0" xfId="0" applyFont="1" applyAlignment="1" applyProtection="1">
      <alignment horizontal="left" indent="1"/>
    </xf>
    <xf fontId="15" fillId="0" borderId="0" numFmtId="0" xfId="0" applyFont="1" applyAlignment="1" applyProtection="1">
      <alignment horizontal="left"/>
    </xf>
    <xf fontId="0" fillId="0" borderId="22" numFmtId="2" xfId="0" applyNumberFormat="1" applyBorder="1" applyAlignment="1" applyProtection="1">
      <alignment horizontal="center"/>
    </xf>
    <xf fontId="0" fillId="0" borderId="23" numFmtId="2" xfId="0" applyNumberFormat="1" applyBorder="1" applyAlignment="1" applyProtection="1">
      <alignment horizontal="center"/>
    </xf>
    <xf fontId="0" fillId="0" borderId="24" numFmtId="2" xfId="0" applyNumberFormat="1" applyBorder="1" applyAlignment="1" applyProtection="1">
      <alignment horizontal="center"/>
    </xf>
    <xf fontId="0" fillId="0" borderId="2" numFmtId="2" xfId="0" applyNumberFormat="1" applyBorder="1" applyAlignment="1" applyProtection="1">
      <alignment horizontal="center"/>
    </xf>
    <xf fontId="0" fillId="0" borderId="25" numFmtId="2" xfId="0" applyNumberFormat="1" applyBorder="1" applyAlignment="1" applyProtection="1">
      <alignment horizontal="center"/>
    </xf>
    <xf fontId="0" fillId="0" borderId="6" numFmtId="2" xfId="0" applyNumberFormat="1" applyBorder="1" applyAlignment="1" applyProtection="1">
      <alignment horizontal="center"/>
    </xf>
    <xf fontId="0" fillId="0" borderId="7" numFmtId="2" xfId="0" applyNumberFormat="1" applyBorder="1" applyAlignment="1" applyProtection="1">
      <alignment horizontal="center"/>
    </xf>
    <xf fontId="0" fillId="0" borderId="26" numFmtId="2" xfId="0" applyNumberFormat="1" applyBorder="1" applyAlignment="1" applyProtection="1">
      <alignment horizontal="center"/>
    </xf>
    <xf fontId="16" fillId="0" borderId="0" numFmtId="0" xfId="0" applyFont="1" applyAlignment="1">
      <alignment horizontal="center" vertical="center"/>
    </xf>
    <xf fontId="0" fillId="0" borderId="0" numFmtId="0" xfId="0" applyAlignment="1">
      <alignment horizontal="center"/>
    </xf>
    <xf fontId="0" fillId="0" borderId="0" numFmtId="0" xfId="0"/>
    <xf fontId="17" fillId="0" borderId="0" numFmtId="0" xfId="0" applyFont="1" applyAlignment="1">
      <alignment horizontal="center"/>
    </xf>
    <xf fontId="0" fillId="0" borderId="0" numFmtId="9" xfId="0" applyNumberFormat="1" applyAlignment="1">
      <alignment horizontal="center"/>
    </xf>
    <xf fontId="15" fillId="0" borderId="0" numFmtId="0" xfId="0" applyFont="1" applyAlignment="1">
      <alignment horizontal="center"/>
    </xf>
    <xf fontId="0" fillId="19" borderId="1" numFmtId="0" xfId="0" applyFill="1" applyBorder="1" applyAlignment="1">
      <alignment horizontal="center" vertical="center"/>
    </xf>
    <xf fontId="0" fillId="20" borderId="1" numFmtId="0" xfId="0" applyFill="1" applyBorder="1" applyAlignment="1">
      <alignment horizontal="center" vertical="center"/>
    </xf>
    <xf fontId="0" fillId="21" borderId="1" numFmtId="0" xfId="0" applyFill="1" applyBorder="1" applyAlignment="1">
      <alignment horizontal="center" vertical="center"/>
    </xf>
    <xf fontId="0" fillId="15" borderId="1" numFmtId="0" xfId="0" applyFill="1" applyBorder="1" applyAlignment="1">
      <alignment horizontal="center" vertical="center"/>
    </xf>
    <xf fontId="0" fillId="22" borderId="1" numFmtId="0" xfId="0" applyFill="1" applyBorder="1" applyAlignment="1">
      <alignment horizontal="center" vertical="center"/>
    </xf>
    <xf fontId="0" fillId="11" borderId="1" numFmtId="0" xfId="0" applyFill="1" applyBorder="1" applyAlignment="1">
      <alignment horizontal="center" vertical="center"/>
    </xf>
    <xf fontId="0" fillId="0" borderId="0" numFmtId="2" xfId="0" applyNumberFormat="1"/>
    <xf fontId="18" fillId="0" borderId="0" numFmtId="0" xfId="0" applyFont="1"/>
    <xf fontId="19" fillId="23" borderId="1" numFmtId="0" xfId="0" applyFont="1" applyFill="1" applyBorder="1" applyAlignment="1">
      <alignment horizontal="center" vertical="center" wrapText="1"/>
    </xf>
    <xf fontId="20" fillId="0" borderId="1" numFmtId="166" xfId="0" applyNumberFormat="1" applyFont="1" applyBorder="1" applyAlignment="1">
      <alignment vertical="center" wrapText="1"/>
    </xf>
    <xf fontId="20" fillId="0" borderId="1" numFmtId="2" xfId="0" applyNumberFormat="1" applyFont="1" applyBorder="1" applyAlignment="1">
      <alignment vertical="center" wrapText="1"/>
    </xf>
    <xf fontId="20" fillId="0" borderId="1" numFmtId="164" xfId="0" applyNumberFormat="1" applyFont="1" applyBorder="1" applyAlignment="1">
      <alignment vertical="center" wrapText="1"/>
    </xf>
    <xf fontId="20" fillId="0" borderId="5" numFmtId="164" xfId="0" applyNumberFormat="1" applyFont="1" applyBorder="1" applyAlignment="1">
      <alignment vertical="center" wrapText="1"/>
    </xf>
    <xf fontId="21" fillId="0" borderId="27" numFmtId="0" xfId="0" applyFont="1" applyBorder="1" applyAlignment="1" applyProtection="1">
      <alignment horizontal="center" vertical="center" wrapText="1"/>
    </xf>
    <xf fontId="21" fillId="0" borderId="27" numFmtId="0" xfId="0" applyFont="1" applyBorder="1" applyAlignment="1" applyProtection="1">
      <alignment vertical="center" wrapText="1"/>
    </xf>
    <xf fontId="21" fillId="0" borderId="20" numFmtId="0" xfId="0" applyFont="1" applyBorder="1" applyAlignment="1" applyProtection="1">
      <alignment vertical="center" wrapText="1"/>
    </xf>
    <xf fontId="21" fillId="0" borderId="28" numFmtId="0" xfId="0" applyFont="1" applyBorder="1" applyAlignment="1" applyProtection="1">
      <alignment horizontal="right" vertical="center" wrapText="1"/>
    </xf>
    <xf fontId="22" fillId="0" borderId="27" numFmtId="0" xfId="0" applyFont="1" applyBorder="1" applyAlignment="1" applyProtection="1">
      <alignment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_rels/chart4.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VIN</a:t>
            </a:r>
            <a:r>
              <a:rPr lang="en-US"/>
              <a:t> Thresholds Programmed</a:t>
            </a:r>
            <a:endParaRPr lang="en-US"/>
          </a:p>
        </c:rich>
      </c:tx>
      <c:layout/>
      <c:overlay val="0"/>
    </c:title>
    <c:autoTitleDeleted val="0"/>
    <c:plotArea>
      <c:layout/>
      <c:lineChart>
        <c:grouping val="standard"/>
        <c:varyColors val="0"/>
        <c:ser>
          <c:idx val="0"/>
          <c:order val="0"/>
          <c:dLbls>
            <c:dLblPos val="t"/>
            <c:showBubbleSize val="0"/>
            <c:showCatName val="0"/>
            <c:showLeaderLines val="0"/>
            <c:showLegendKey val="0"/>
            <c:showPercent val="0"/>
            <c:showSerName val="0"/>
            <c:showVal val="1"/>
          </c:dLbls>
          <c:cat>
            <c:strRef>
              <c:f>'Calculation Sheet'!$K$19:$K$21</c:f>
              <c:strCache>
                <c:ptCount val="3"/>
                <c:pt idx="0">
                  <c:v>Power Fail 
(VIN Falling)</c:v>
                </c:pt>
                <c:pt idx="1">
                  <c:v>UVLO 
(VIN Rising)</c:v>
                </c:pt>
                <c:pt idx="2">
                  <c:v>OVP
(VIN Rising)</c:v>
                </c:pt>
              </c:strCache>
            </c:strRef>
          </c:cat>
          <c:val>
            <c:numRef>
              <c:f>'Calculation Sheet'!$J$19:$J$21</c:f>
              <c:numCache>
                <c:formatCode>0.00</c:formatCode>
                <c:ptCount val="3"/>
                <c:pt idx="0">
                  <c:v>16.885454545454543</c:v>
                </c:pt>
                <c:pt idx="1">
                  <c:v>17.774162679425835</c:v>
                </c:pt>
                <c:pt idx="2">
                  <c:v>32.77764705882353</c:v>
                </c:pt>
              </c:numCache>
            </c:numRef>
          </c:val>
          <c:smooth val="0"/>
        </c:ser>
        <c:dLbls>
          <c:showBubbleSize val="0"/>
          <c:showCatName val="0"/>
          <c:showLeaderLines val="0"/>
          <c:showLegendKey val="0"/>
          <c:showPercent val="0"/>
          <c:showSerName val="0"/>
          <c:showVal val="0"/>
        </c:dLbls>
        <c:marker val="1"/>
        <c:smooth val="0"/>
        <c:axId val="55721344"/>
        <c:axId val="55723136"/>
      </c:lineChart>
      <c:catAx>
        <c:axId val="55721344"/>
        <c:scaling>
          <c:orientation val="minMax"/>
        </c:scaling>
        <c:delete val="0"/>
        <c:axPos val="b"/>
        <c:majorGridlines>
          <c:spPr bwMode="auto"/>
        </c:majorGridlines>
        <c:minorGridlines>
          <c:spPr bwMode="auto"/>
        </c:minorGridlines>
        <c:numFmt formatCode="0.00" sourceLinked="1"/>
        <c:majorTickMark val="out"/>
        <c:minorTickMark val="none"/>
        <c:tickLblPos val="nextTo"/>
        <c:txPr>
          <a:bodyPr/>
          <a:lstStyle/>
          <a:p>
            <a:pPr>
              <a:defRPr sz="900" b="1"/>
            </a:pPr>
            <a:endParaRPr lang="en-US"/>
          </a:p>
        </c:txPr>
        <c:crossAx val="55723136"/>
        <c:crosses val="autoZero"/>
        <c:auto val="0"/>
        <c:lblAlgn val="ctr"/>
        <c:lblOffset val="100"/>
        <c:noMultiLvlLbl val="0"/>
      </c:catAx>
      <c:valAx>
        <c:axId val="55723136"/>
        <c:scaling>
          <c:orientation val="minMax"/>
        </c:scaling>
        <c:delete val="0"/>
        <c:axPos val="l"/>
        <c:majorGridlines>
          <c:spPr bwMode="auto"/>
        </c:majorGridlines>
        <c:numFmt formatCode="0.00" sourceLinked="1"/>
        <c:majorTickMark val="out"/>
        <c:minorTickMark val="none"/>
        <c:tickLblPos val="nextTo"/>
        <c:crossAx val="55721344"/>
        <c:crosses val="autoZero"/>
        <c:crossBetween val="between"/>
      </c:valAx>
    </c:plotArea>
    <c:plotVisOnly val="1"/>
    <c:dispBlanksAs val="gap"/>
    <c:showDLblsOverMax val="0"/>
  </c:chart>
  <c:spPr bwMode="auto">
    <a:xfrm rot="0">
      <a:off x="0" y="0"/>
      <a:ext cx="0" cy="0"/>
    </a:xfrm>
  </c:sp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Current Limits Programmed</a:t>
            </a:r>
            <a:endParaRPr/>
          </a:p>
        </c:rich>
      </c:tx>
      <c:layout/>
      <c:overlay val="0"/>
    </c:title>
    <c:autoTitleDeleted val="0"/>
    <c:plotArea>
      <c:layout/>
      <c:lineChart>
        <c:grouping val="standard"/>
        <c:varyColors val="0"/>
        <c:ser>
          <c:idx val="0"/>
          <c:order val="0"/>
          <c:dLbls>
            <c:dLblPos val="t"/>
            <c:showBubbleSize val="0"/>
            <c:showCatName val="0"/>
            <c:showLeaderLines val="0"/>
            <c:showLegendKey val="0"/>
            <c:showPercent val="0"/>
            <c:showSerName val="0"/>
            <c:showVal val="1"/>
          </c:dLbls>
          <c:cat>
            <c:strRef>
              <c:f>'Calculation Sheet'!$K$31:$K$33</c:f>
              <c:strCache>
                <c:ptCount val="3"/>
                <c:pt idx="0">
                  <c:v>Inrush Charging 
Current</c:v>
                </c:pt>
                <c:pt idx="1">
                  <c:v>Overload Current
Limit</c:v>
                </c:pt>
                <c:pt idx="2">
                  <c:v>Fastrip Current
Limit</c:v>
                </c:pt>
              </c:strCache>
            </c:strRef>
          </c:cat>
          <c:val>
            <c:numRef>
              <c:f>'Calculation Sheet'!$J$31:$J$32</c:f>
              <c:numCache>
                <c:formatCode>0.00</c:formatCode>
                <c:ptCount val="2"/>
                <c:pt idx="0">
                  <c:v>0.41250000000000003</c:v>
                </c:pt>
                <c:pt idx="1">
                  <c:v>5.69620253164557</c:v>
                </c:pt>
              </c:numCache>
            </c:numRef>
          </c:val>
          <c:smooth val="0"/>
        </c:ser>
        <c:dLbls>
          <c:showBubbleSize val="0"/>
          <c:showCatName val="0"/>
          <c:showLeaderLines val="0"/>
          <c:showLegendKey val="0"/>
          <c:showPercent val="0"/>
          <c:showSerName val="0"/>
          <c:showVal val="0"/>
        </c:dLbls>
        <c:marker val="1"/>
        <c:smooth val="0"/>
        <c:axId val="55764096"/>
        <c:axId val="55765632"/>
      </c:lineChart>
      <c:catAx>
        <c:axId val="55764096"/>
        <c:scaling>
          <c:orientation val="minMax"/>
        </c:scaling>
        <c:delete val="0"/>
        <c:axPos val="b"/>
        <c:majorGridlines>
          <c:spPr bwMode="auto"/>
        </c:majorGridlines>
        <c:minorGridlines>
          <c:spPr bwMode="auto"/>
        </c:minorGridlines>
        <c:majorTickMark val="out"/>
        <c:minorTickMark val="none"/>
        <c:tickLblPos val="nextTo"/>
        <c:txPr>
          <a:bodyPr/>
          <a:lstStyle/>
          <a:p>
            <a:pPr>
              <a:defRPr sz="900" b="1"/>
            </a:pPr>
            <a:endParaRPr lang="en-US"/>
          </a:p>
        </c:txPr>
        <c:crossAx val="55765632"/>
        <c:crosses val="autoZero"/>
        <c:auto val="0"/>
        <c:lblAlgn val="ctr"/>
        <c:lblOffset val="100"/>
        <c:noMultiLvlLbl val="0"/>
      </c:catAx>
      <c:valAx>
        <c:axId val="55765632"/>
        <c:scaling>
          <c:orientation val="minMax"/>
        </c:scaling>
        <c:delete val="0"/>
        <c:axPos val="l"/>
        <c:majorGridlines>
          <c:spPr bwMode="auto"/>
        </c:majorGridlines>
        <c:numFmt formatCode="0.00" sourceLinked="1"/>
        <c:majorTickMark val="out"/>
        <c:minorTickMark val="none"/>
        <c:tickLblPos val="nextTo"/>
        <c:crossAx val="55764096"/>
        <c:crosses val="autoZero"/>
        <c:crossBetween val="between"/>
      </c:valAx>
    </c:plotArea>
    <c:plotVisOnly val="1"/>
    <c:dispBlanksAs val="gap"/>
    <c:showDLblsOverMax val="0"/>
  </c:chart>
  <c:spPr bwMode="auto">
    <a:xfrm rot="0">
      <a:off x="0" y="0"/>
      <a:ext cx="0" cy="0"/>
    </a:xfrm>
  </c:sp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Thermal Shutdown Time Vs. Power Dissipation</a:t>
            </a:r>
            <a:endParaRPr/>
          </a:p>
        </c:rich>
      </c:tx>
      <c:layout/>
      <c:overlay val="0"/>
    </c:title>
    <c:autoTitleDeleted val="0"/>
    <c:plotArea>
      <c:layout/>
      <c:scatterChart>
        <c:scatterStyle val="smoothMarker"/>
        <c:varyColors val="0"/>
        <c:ser>
          <c:idx val="0"/>
          <c:order val="0"/>
          <c:tx>
            <c:strRef>
              <c:f>'Thermal Shutdown Limit Plot'!$B$2</c:f>
              <c:strCache>
                <c:ptCount val="1"/>
                <c:pt idx="0">
                  <c:v>TA = -40C</c:v>
                </c:pt>
              </c:strCache>
            </c:strRef>
          </c:tx>
          <c:spPr bwMode="auto">
            <a:prstGeom prst="rect">
              <a:avLst/>
            </a:prstGeom>
            <a:ln w="38100">
              <a:solidFill>
                <a:srgbClr val="0070C0"/>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Plot'!$B$3:$B$26</c:f>
              <c:numCache>
                <c:formatCode>0.00</c:formatCode>
                <c:ptCount val="24"/>
                <c:pt idx="0">
                  <c:v>2740</c:v>
                </c:pt>
                <c:pt idx="1">
                  <c:v>2740</c:v>
                </c:pt>
                <c:pt idx="2">
                  <c:v>2700</c:v>
                </c:pt>
                <c:pt idx="3">
                  <c:v>1050</c:v>
                </c:pt>
                <c:pt idx="4">
                  <c:v>590</c:v>
                </c:pt>
                <c:pt idx="5">
                  <c:v>282</c:v>
                </c:pt>
                <c:pt idx="6">
                  <c:v>155</c:v>
                </c:pt>
                <c:pt idx="7">
                  <c:v>80</c:v>
                </c:pt>
                <c:pt idx="8">
                  <c:v>58</c:v>
                </c:pt>
                <c:pt idx="9">
                  <c:v>44</c:v>
                </c:pt>
                <c:pt idx="10">
                  <c:v>34</c:v>
                </c:pt>
                <c:pt idx="11">
                  <c:v>26</c:v>
                </c:pt>
                <c:pt idx="12">
                  <c:v>21</c:v>
                </c:pt>
                <c:pt idx="13">
                  <c:v>18</c:v>
                </c:pt>
                <c:pt idx="14">
                  <c:v>7</c:v>
                </c:pt>
                <c:pt idx="15">
                  <c:v>4.3</c:v>
                </c:pt>
                <c:pt idx="16">
                  <c:v>3.3</c:v>
                </c:pt>
                <c:pt idx="17">
                  <c:v>2.4</c:v>
                </c:pt>
                <c:pt idx="18">
                  <c:v>1.9</c:v>
                </c:pt>
                <c:pt idx="19">
                  <c:v>1.6</c:v>
                </c:pt>
                <c:pt idx="20">
                  <c:v>1.35</c:v>
                </c:pt>
                <c:pt idx="21">
                  <c:v>1.2</c:v>
                </c:pt>
                <c:pt idx="22">
                  <c:v>1.05</c:v>
                </c:pt>
                <c:pt idx="23">
                  <c:v>0.94</c:v>
                </c:pt>
              </c:numCache>
            </c:numRef>
          </c:yVal>
          <c:smooth val="1"/>
        </c:ser>
        <c:ser>
          <c:idx val="1"/>
          <c:order val="1"/>
          <c:tx>
            <c:strRef>
              <c:f>'Thermal Shutdown Limit Plot'!$C$2</c:f>
              <c:strCache>
                <c:ptCount val="1"/>
                <c:pt idx="0">
                  <c:v>TA = 0C</c:v>
                </c:pt>
              </c:strCache>
            </c:strRef>
          </c:tx>
          <c:spPr bwMode="auto">
            <a:prstGeom prst="rect">
              <a:avLst/>
            </a:prstGeom>
            <a:ln w="38100">
              <a:solidFill>
                <a:srgbClr val="00B050"/>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Plot'!$C$3:$C$26</c:f>
              <c:numCache>
                <c:formatCode>0.00</c:formatCode>
                <c:ptCount val="24"/>
                <c:pt idx="0">
                  <c:v>2740</c:v>
                </c:pt>
                <c:pt idx="1">
                  <c:v>2740</c:v>
                </c:pt>
                <c:pt idx="2">
                  <c:v>960</c:v>
                </c:pt>
                <c:pt idx="3">
                  <c:v>520</c:v>
                </c:pt>
                <c:pt idx="4">
                  <c:v>333</c:v>
                </c:pt>
                <c:pt idx="5">
                  <c:v>160</c:v>
                </c:pt>
                <c:pt idx="6">
                  <c:v>73</c:v>
                </c:pt>
                <c:pt idx="7">
                  <c:v>51</c:v>
                </c:pt>
                <c:pt idx="8">
                  <c:v>37</c:v>
                </c:pt>
                <c:pt idx="9">
                  <c:v>28</c:v>
                </c:pt>
                <c:pt idx="10">
                  <c:v>22</c:v>
                </c:pt>
                <c:pt idx="11">
                  <c:v>17</c:v>
                </c:pt>
                <c:pt idx="12">
                  <c:v>14</c:v>
                </c:pt>
                <c:pt idx="13">
                  <c:v>11.4</c:v>
                </c:pt>
                <c:pt idx="14">
                  <c:v>5</c:v>
                </c:pt>
                <c:pt idx="15">
                  <c:v>3.3</c:v>
                </c:pt>
                <c:pt idx="16">
                  <c:v>2.4</c:v>
                </c:pt>
                <c:pt idx="17">
                  <c:v>1.8</c:v>
                </c:pt>
                <c:pt idx="18">
                  <c:v>1.5</c:v>
                </c:pt>
                <c:pt idx="19">
                  <c:v>1.3</c:v>
                </c:pt>
                <c:pt idx="20">
                  <c:v>1.1</c:v>
                </c:pt>
                <c:pt idx="21">
                  <c:v>0.95</c:v>
                </c:pt>
                <c:pt idx="22">
                  <c:v>0.85</c:v>
                </c:pt>
                <c:pt idx="23">
                  <c:v>0.75</c:v>
                </c:pt>
              </c:numCache>
            </c:numRef>
          </c:yVal>
          <c:smooth val="1"/>
        </c:ser>
        <c:ser>
          <c:idx val="2"/>
          <c:order val="2"/>
          <c:tx>
            <c:strRef>
              <c:f>'Thermal Shutdown Limit Plot'!$D$2</c:f>
              <c:strCache>
                <c:ptCount val="1"/>
                <c:pt idx="0">
                  <c:v>TA = 25C</c:v>
                </c:pt>
              </c:strCache>
            </c:strRef>
          </c:tx>
          <c:spPr bwMode="auto">
            <a:prstGeom prst="rect">
              <a:avLst/>
            </a:prstGeom>
            <a:ln w="38100">
              <a:solidFill>
                <a:schemeClr val="accent4">
                  <a:lumMod val="75000"/>
                </a:schemeClr>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Plot'!$D$3:$D$26</c:f>
              <c:numCache>
                <c:formatCode>0.00</c:formatCode>
                <c:ptCount val="24"/>
                <c:pt idx="0">
                  <c:v>2740</c:v>
                </c:pt>
                <c:pt idx="1">
                  <c:v>1920</c:v>
                </c:pt>
                <c:pt idx="2">
                  <c:v>450</c:v>
                </c:pt>
                <c:pt idx="3">
                  <c:v>128</c:v>
                </c:pt>
                <c:pt idx="4">
                  <c:v>93</c:v>
                </c:pt>
                <c:pt idx="5">
                  <c:v>56</c:v>
                </c:pt>
                <c:pt idx="6">
                  <c:v>40</c:v>
                </c:pt>
                <c:pt idx="7">
                  <c:v>27.5</c:v>
                </c:pt>
                <c:pt idx="8">
                  <c:v>23</c:v>
                </c:pt>
                <c:pt idx="9">
                  <c:v>15.4</c:v>
                </c:pt>
                <c:pt idx="10">
                  <c:v>11.5</c:v>
                </c:pt>
                <c:pt idx="11">
                  <c:v>10</c:v>
                </c:pt>
                <c:pt idx="12">
                  <c:v>8</c:v>
                </c:pt>
                <c:pt idx="13">
                  <c:v>7</c:v>
                </c:pt>
                <c:pt idx="14">
                  <c:v>3.4</c:v>
                </c:pt>
                <c:pt idx="15">
                  <c:v>2.2</c:v>
                </c:pt>
                <c:pt idx="16">
                  <c:v>1.8</c:v>
                </c:pt>
                <c:pt idx="17">
                  <c:v>1.4</c:v>
                </c:pt>
                <c:pt idx="18">
                  <c:v>1.1</c:v>
                </c:pt>
                <c:pt idx="19">
                  <c:v>0.9</c:v>
                </c:pt>
                <c:pt idx="20">
                  <c:v>0.8</c:v>
                </c:pt>
                <c:pt idx="21">
                  <c:v>0.76</c:v>
                </c:pt>
                <c:pt idx="22">
                  <c:v>0.67</c:v>
                </c:pt>
                <c:pt idx="23">
                  <c:v>0.59</c:v>
                </c:pt>
              </c:numCache>
            </c:numRef>
          </c:yVal>
          <c:smooth val="1"/>
        </c:ser>
        <c:ser>
          <c:idx val="3"/>
          <c:order val="3"/>
          <c:tx>
            <c:strRef>
              <c:f>'Thermal Shutdown Limit Plot'!$E$2</c:f>
              <c:strCache>
                <c:ptCount val="1"/>
                <c:pt idx="0">
                  <c:v>TA = 85C</c:v>
                </c:pt>
              </c:strCache>
            </c:strRef>
          </c:tx>
          <c:spPr bwMode="auto">
            <a:prstGeom prst="rect">
              <a:avLst/>
            </a:prstGeom>
            <a:ln w="38100">
              <a:solidFill>
                <a:schemeClr val="accent2">
                  <a:lumMod val="75000"/>
                </a:schemeClr>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Plot'!$E$3:$E$26</c:f>
              <c:numCache>
                <c:formatCode>0.00</c:formatCode>
                <c:ptCount val="24"/>
                <c:pt idx="0">
                  <c:v>2740</c:v>
                </c:pt>
                <c:pt idx="1">
                  <c:v>460</c:v>
                </c:pt>
                <c:pt idx="2">
                  <c:v>95</c:v>
                </c:pt>
                <c:pt idx="3">
                  <c:v>63</c:v>
                </c:pt>
                <c:pt idx="4">
                  <c:v>42</c:v>
                </c:pt>
                <c:pt idx="5">
                  <c:v>22</c:v>
                </c:pt>
                <c:pt idx="6">
                  <c:v>15</c:v>
                </c:pt>
                <c:pt idx="7">
                  <c:v>9.4</c:v>
                </c:pt>
                <c:pt idx="8">
                  <c:v>7</c:v>
                </c:pt>
                <c:pt idx="9">
                  <c:v>5.5</c:v>
                </c:pt>
                <c:pt idx="10">
                  <c:v>4.5</c:v>
                </c:pt>
                <c:pt idx="11">
                  <c:v>3.8</c:v>
                </c:pt>
                <c:pt idx="12">
                  <c:v>3.3</c:v>
                </c:pt>
                <c:pt idx="13">
                  <c:v>2.9</c:v>
                </c:pt>
                <c:pt idx="14">
                  <c:v>2</c:v>
                </c:pt>
                <c:pt idx="15">
                  <c:v>1.4</c:v>
                </c:pt>
                <c:pt idx="16">
                  <c:v>1</c:v>
                </c:pt>
                <c:pt idx="17">
                  <c:v>0.82</c:v>
                </c:pt>
                <c:pt idx="18">
                  <c:v>0.67</c:v>
                </c:pt>
                <c:pt idx="19">
                  <c:v>0.56</c:v>
                </c:pt>
                <c:pt idx="20">
                  <c:v>0.48</c:v>
                </c:pt>
                <c:pt idx="21">
                  <c:v>0.42</c:v>
                </c:pt>
                <c:pt idx="22">
                  <c:v>0.37</c:v>
                </c:pt>
                <c:pt idx="23">
                  <c:v>0.33</c:v>
                </c:pt>
              </c:numCache>
            </c:numRef>
          </c:yVal>
          <c:smooth val="1"/>
        </c:ser>
        <c:ser>
          <c:idx val="4"/>
          <c:order val="4"/>
          <c:tx>
            <c:strRef>
              <c:f>'Thermal Shutdown Limit Plot'!$F$2</c:f>
              <c:strCache>
                <c:ptCount val="1"/>
                <c:pt idx="0">
                  <c:v>TA = 125C</c:v>
                </c:pt>
              </c:strCache>
            </c:strRef>
          </c:tx>
          <c:spPr bwMode="auto">
            <a:prstGeom prst="rect">
              <a:avLst/>
            </a:prstGeom>
            <a:ln w="38100">
              <a:solidFill>
                <a:srgbClr val="FF0000"/>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Plot'!$F$3:$F$26</c:f>
              <c:numCache>
                <c:formatCode>0.00</c:formatCode>
                <c:ptCount val="24"/>
                <c:pt idx="0">
                  <c:v>590</c:v>
                </c:pt>
                <c:pt idx="1">
                  <c:v>77</c:v>
                </c:pt>
                <c:pt idx="2">
                  <c:v>25</c:v>
                </c:pt>
                <c:pt idx="3">
                  <c:v>16</c:v>
                </c:pt>
                <c:pt idx="4">
                  <c:v>8</c:v>
                </c:pt>
                <c:pt idx="5">
                  <c:v>6.5</c:v>
                </c:pt>
                <c:pt idx="6">
                  <c:v>4.5</c:v>
                </c:pt>
                <c:pt idx="7">
                  <c:v>3.5</c:v>
                </c:pt>
                <c:pt idx="8">
                  <c:v>2.8</c:v>
                </c:pt>
                <c:pt idx="9">
                  <c:v>2.3</c:v>
                </c:pt>
                <c:pt idx="10">
                  <c:v>2</c:v>
                </c:pt>
                <c:pt idx="11">
                  <c:v>1.7</c:v>
                </c:pt>
                <c:pt idx="12">
                  <c:v>1.5</c:v>
                </c:pt>
                <c:pt idx="13">
                  <c:v>1.3</c:v>
                </c:pt>
                <c:pt idx="14">
                  <c:v>0.96</c:v>
                </c:pt>
                <c:pt idx="15">
                  <c:v>0.65</c:v>
                </c:pt>
                <c:pt idx="16">
                  <c:v>0.54</c:v>
                </c:pt>
                <c:pt idx="17">
                  <c:v>0.39</c:v>
                </c:pt>
                <c:pt idx="18">
                  <c:v>0.32</c:v>
                </c:pt>
                <c:pt idx="19">
                  <c:v>0.27</c:v>
                </c:pt>
                <c:pt idx="20">
                  <c:v>0.24</c:v>
                </c:pt>
                <c:pt idx="21">
                  <c:v>0.21</c:v>
                </c:pt>
                <c:pt idx="22">
                  <c:v>0.18</c:v>
                </c:pt>
                <c:pt idx="23">
                  <c:v>0.17</c:v>
                </c:pt>
              </c:numCache>
            </c:numRef>
          </c:yVal>
          <c:smooth val="1"/>
        </c:ser>
        <c:dLbls>
          <c:showBubbleSize val="0"/>
          <c:showCatName val="0"/>
          <c:showLeaderLines val="0"/>
          <c:showLegendKey val="0"/>
          <c:showPercent val="0"/>
          <c:showSerName val="0"/>
          <c:showVal val="0"/>
        </c:dLbls>
        <c:axId val="55965568"/>
        <c:axId val="56569856"/>
      </c:scatterChart>
      <c:scatterChart>
        <c:scatterStyle val="lineMarker"/>
        <c:varyColors val="0"/>
        <c:ser>
          <c:idx val="5"/>
          <c:order val="5"/>
          <c:tx>
            <c:strRef>
              <c:f>'Thermal Shutdown Limit Plot'!$B$34</c:f>
              <c:strCache>
                <c:ptCount val="1"/>
                <c:pt idx="0">
                  <c:v>Maximum Point</c:v>
                </c:pt>
              </c:strCache>
            </c:strRef>
          </c:tx>
          <c:spPr bwMode="auto">
            <a:prstGeom prst="rect">
              <a:avLst/>
            </a:prstGeom>
            <a:ln w="28575">
              <a:noFill/>
            </a:ln>
          </c:spPr>
          <c:marker>
            <c:symbol val="diamond"/>
            <c:size val="14"/>
          </c:marker>
          <c:xVal>
            <c:numRef>
              <c:f>'Thermal Shutdown Limit Plot'!$C$34</c:f>
              <c:numCache>
                <c:formatCode>0.00</c:formatCode>
                <c:ptCount val="1"/>
                <c:pt idx="0">
                  <c:v>15</c:v>
                </c:pt>
              </c:numCache>
            </c:numRef>
          </c:xVal>
          <c:yVal>
            <c:numRef>
              <c:f>'Thermal Shutdown Limit Plot'!$D$34</c:f>
              <c:numCache>
                <c:formatCode>0.00</c:formatCode>
                <c:ptCount val="1"/>
                <c:pt idx="0">
                  <c:v>80</c:v>
                </c:pt>
              </c:numCache>
            </c:numRef>
          </c:yVal>
          <c:smooth val="0"/>
        </c:ser>
        <c:ser>
          <c:idx val="6"/>
          <c:order val="6"/>
          <c:tx>
            <c:strRef>
              <c:f>'Thermal Shutdown Limit Plot'!$B$35</c:f>
              <c:strCache>
                <c:ptCount val="1"/>
                <c:pt idx="0">
                  <c:v>Operating Point</c:v>
                </c:pt>
              </c:strCache>
            </c:strRef>
          </c:tx>
          <c:spPr bwMode="auto">
            <a:prstGeom prst="rect">
              <a:avLst/>
            </a:prstGeom>
            <a:ln w="28575">
              <a:solidFill>
                <a:schemeClr val="tx1"/>
              </a:solidFill>
            </a:ln>
          </c:spPr>
          <c:marker>
            <c:symbol val="triangle"/>
            <c:size val="14"/>
          </c:marker>
          <c:xVal>
            <c:numRef>
              <c:f>'Thermal Shutdown Limit Plot'!$C$35</c:f>
              <c:numCache>
                <c:formatCode>0.00</c:formatCode>
                <c:ptCount val="1"/>
                <c:pt idx="0">
                  <c:v>10.013333333333334</c:v>
                </c:pt>
              </c:numCache>
            </c:numRef>
          </c:xVal>
          <c:yVal>
            <c:numRef>
              <c:f>'Thermal Shutdown Limit Plot'!$D$35</c:f>
              <c:numCache>
                <c:formatCode>0.00</c:formatCode>
                <c:ptCount val="1"/>
                <c:pt idx="0">
                  <c:v>80</c:v>
                </c:pt>
              </c:numCache>
            </c:numRef>
          </c:yVal>
          <c:smooth val="0"/>
        </c:ser>
        <c:dLbls>
          <c:showBubbleSize val="0"/>
          <c:showCatName val="0"/>
          <c:showLeaderLines val="0"/>
          <c:showLegendKey val="0"/>
          <c:showPercent val="0"/>
          <c:showSerName val="0"/>
          <c:showVal val="0"/>
        </c:dLbls>
        <c:axId val="55965568"/>
        <c:axId val="56569856"/>
      </c:scatterChart>
      <c:valAx>
        <c:axId val="55965568"/>
        <c:scaling>
          <c:logBase val="10.000000"/>
          <c:orientation val="minMax"/>
          <c:max val="400.000000"/>
          <c:min val="3.000000"/>
        </c:scaling>
        <c:delete val="0"/>
        <c:axPos val="b"/>
        <c:majorGridlines>
          <c:spPr bwMode="auto"/>
        </c:majorGridlines>
        <c:minorGridlines>
          <c:spPr bwMode="auto"/>
        </c:minorGridlines>
        <c:title>
          <c:tx>
            <c:rich>
              <a:bodyPr/>
              <a:lstStyle/>
              <a:p>
                <a:pPr>
                  <a:defRPr/>
                </a:pPr>
                <a:r>
                  <a:rPr lang="en-US" sz="1600" b="1" i="0"/>
                  <a:t>Power dissipation (W)</a:t>
                </a:r>
                <a:endParaRPr lang="en-US" sz="1600"/>
              </a:p>
            </c:rich>
          </c:tx>
          <c:layout/>
          <c:overlay val="0"/>
        </c:title>
        <c:numFmt formatCode="General" sourceLinked="0"/>
        <c:majorTickMark val="out"/>
        <c:minorTickMark val="none"/>
        <c:tickLblPos val="low"/>
        <c:crossAx val="56569856"/>
        <c:crosses val="autoZero"/>
        <c:crossBetween val="midCat"/>
      </c:valAx>
      <c:valAx>
        <c:axId val="56569856"/>
        <c:scaling>
          <c:logBase val="10.000000"/>
          <c:orientation val="minMax"/>
          <c:max val="3000.000000"/>
          <c:min val="0.100000"/>
        </c:scaling>
        <c:delete val="0"/>
        <c:axPos val="l"/>
        <c:majorGridlines>
          <c:spPr bwMode="auto"/>
        </c:majorGridlines>
        <c:minorGridlines>
          <c:spPr bwMode="auto"/>
        </c:minorGridlines>
        <c:title>
          <c:tx>
            <c:rich>
              <a:bodyPr rot="-5400000" vert="horz"/>
              <a:lstStyle/>
              <a:p>
                <a:pPr>
                  <a:defRPr/>
                </a:pPr>
                <a:r>
                  <a:rPr lang="en-US" sz="1600" b="1" i="0"/>
                  <a:t>Thermal Shutdown Time (ms)</a:t>
                </a:r>
                <a:endParaRPr lang="en-US" sz="1600"/>
              </a:p>
            </c:rich>
          </c:tx>
          <c:layout/>
          <c:overlay val="0"/>
        </c:title>
        <c:numFmt formatCode="General" sourceLinked="0"/>
        <c:majorTickMark val="in"/>
        <c:minorTickMark val="none"/>
        <c:tickLblPos val="low"/>
        <c:crossAx val="55965568"/>
        <c:crosses val="autoZero"/>
        <c:crossBetween val="midCat"/>
        <c:majorUnit val="10.000000"/>
        <c:minorUnit val="10.000000"/>
      </c:valAx>
      <c:spPr bwMode="auto">
        <a:prstGeom prst="rect">
          <a:avLst/>
        </a:prstGeom>
        <a:ln w="31750">
          <a:solidFill>
            <a:schemeClr val="tx1"/>
          </a:solidFill>
        </a:ln>
      </c:spPr>
    </c:plotArea>
    <c:legend>
      <c:legendPos val="r"/>
      <c:layout/>
      <c:overlay val="0"/>
    </c:legend>
    <c:plotVisOnly val="1"/>
    <c:dispBlanksAs val="gap"/>
    <c:showDLblsOverMax val="0"/>
  </c:chart>
  <c:spPr bwMode="auto">
    <a:xfrm rot="0">
      <a:off x="0" y="0"/>
      <a:ext cx="0" cy="0"/>
    </a:xfrm>
  </c:spPr>
  <c:printSettings>
    <c:headerFooter/>
    <c:pageMargins l="0.69999999999999996" r="0.69999999999999996" t="0.75" b="0.75" header="0.29999999999999999" footer="0.29999999999999999"/>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Thermal Shutdown Time Vs. Power Dissipation</a:t>
            </a:r>
            <a:endParaRPr/>
          </a:p>
        </c:rich>
      </c:tx>
      <c:layout/>
      <c:overlay val="0"/>
    </c:title>
    <c:autoTitleDeleted val="0"/>
    <c:plotArea>
      <c:layout/>
      <c:scatterChart>
        <c:scatterStyle val="smoothMarker"/>
        <c:varyColors val="0"/>
        <c:ser>
          <c:idx val="0"/>
          <c:order val="0"/>
          <c:tx>
            <c:strRef>
              <c:f>'Thermal Shutdown Limit Plot'!$B$2</c:f>
              <c:strCache>
                <c:ptCount val="1"/>
                <c:pt idx="0">
                  <c:v>TA = -40C</c:v>
                </c:pt>
              </c:strCache>
            </c:strRef>
          </c:tx>
          <c:spPr bwMode="auto">
            <a:prstGeom prst="rect">
              <a:avLst/>
            </a:prstGeom>
            <a:ln w="38100">
              <a:solidFill>
                <a:srgbClr val="0070C0"/>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Plot'!$B$41:$B$64</c:f>
              <c:numCache>
                <c:formatCode>General</c:formatCode>
                <c:ptCount val="24"/>
                <c:pt idx="0">
                  <c:v>2733</c:v>
                </c:pt>
                <c:pt idx="1">
                  <c:v>2733</c:v>
                </c:pt>
                <c:pt idx="2">
                  <c:v>2733</c:v>
                </c:pt>
                <c:pt idx="3">
                  <c:v>2733</c:v>
                </c:pt>
                <c:pt idx="4">
                  <c:v>1368.86</c:v>
                </c:pt>
                <c:pt idx="5">
                  <c:v>527.68</c:v>
                </c:pt>
                <c:pt idx="6">
                  <c:v>285</c:v>
                </c:pt>
                <c:pt idx="7">
                  <c:v>178.942</c:v>
                </c:pt>
                <c:pt idx="8">
                  <c:v>118.69</c:v>
                </c:pt>
                <c:pt idx="9">
                  <c:v>87.568</c:v>
                </c:pt>
                <c:pt idx="10">
                  <c:v>65.22</c:v>
                </c:pt>
                <c:pt idx="11">
                  <c:v>48.153</c:v>
                </c:pt>
                <c:pt idx="12">
                  <c:v>34.81</c:v>
                </c:pt>
                <c:pt idx="13">
                  <c:v>25.242</c:v>
                </c:pt>
                <c:pt idx="14">
                  <c:v>13.749</c:v>
                </c:pt>
                <c:pt idx="15">
                  <c:v>7</c:v>
                </c:pt>
                <c:pt idx="16">
                  <c:v>4.4129</c:v>
                </c:pt>
                <c:pt idx="17">
                  <c:v>2.977</c:v>
                </c:pt>
                <c:pt idx="18">
                  <c:v>2.418</c:v>
                </c:pt>
                <c:pt idx="19">
                  <c:v>1.858</c:v>
                </c:pt>
                <c:pt idx="20">
                  <c:v>1.5387</c:v>
                </c:pt>
                <c:pt idx="21">
                  <c:v>1.3152</c:v>
                </c:pt>
                <c:pt idx="22">
                  <c:v>1.1397</c:v>
                </c:pt>
                <c:pt idx="23">
                  <c:v>0.98</c:v>
                </c:pt>
              </c:numCache>
            </c:numRef>
          </c:yVal>
          <c:smooth val="1"/>
        </c:ser>
        <c:ser>
          <c:idx val="1"/>
          <c:order val="1"/>
          <c:tx>
            <c:strRef>
              <c:f>'Thermal Shutdown Limit Plot'!$C$2</c:f>
              <c:strCache>
                <c:ptCount val="1"/>
                <c:pt idx="0">
                  <c:v>TA = 0C</c:v>
                </c:pt>
              </c:strCache>
            </c:strRef>
          </c:tx>
          <c:spPr bwMode="auto">
            <a:prstGeom prst="rect">
              <a:avLst/>
            </a:prstGeom>
            <a:ln w="38100">
              <a:solidFill>
                <a:srgbClr val="00B050"/>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Plot'!$C$41:$C$64</c:f>
              <c:numCache>
                <c:formatCode>General</c:formatCode>
                <c:ptCount val="24"/>
                <c:pt idx="0">
                  <c:v>2733</c:v>
                </c:pt>
                <c:pt idx="1">
                  <c:v>2733</c:v>
                </c:pt>
                <c:pt idx="2">
                  <c:v>2733</c:v>
                </c:pt>
                <c:pt idx="3">
                  <c:v>1215.83</c:v>
                </c:pt>
                <c:pt idx="4">
                  <c:v>673.17</c:v>
                </c:pt>
                <c:pt idx="5">
                  <c:v>298.09</c:v>
                </c:pt>
                <c:pt idx="6">
                  <c:v>170.4</c:v>
                </c:pt>
                <c:pt idx="7">
                  <c:v>108.95</c:v>
                </c:pt>
                <c:pt idx="8">
                  <c:v>74.636</c:v>
                </c:pt>
                <c:pt idx="9">
                  <c:v>55.32</c:v>
                </c:pt>
                <c:pt idx="10">
                  <c:v>41.438</c:v>
                </c:pt>
                <c:pt idx="11">
                  <c:v>31.543</c:v>
                </c:pt>
                <c:pt idx="12">
                  <c:v>24</c:v>
                </c:pt>
                <c:pt idx="13">
                  <c:v>18.935</c:v>
                </c:pt>
                <c:pt idx="14">
                  <c:v>8.9596</c:v>
                </c:pt>
                <c:pt idx="15">
                  <c:v>4.8496</c:v>
                </c:pt>
                <c:pt idx="16">
                  <c:v>3.133</c:v>
                </c:pt>
                <c:pt idx="17">
                  <c:v>2.288</c:v>
                </c:pt>
                <c:pt idx="18">
                  <c:v>1.777</c:v>
                </c:pt>
                <c:pt idx="19">
                  <c:v>1.4581</c:v>
                </c:pt>
                <c:pt idx="20">
                  <c:v>1.2187</c:v>
                </c:pt>
                <c:pt idx="21">
                  <c:v>1.0431</c:v>
                </c:pt>
                <c:pt idx="22">
                  <c:v>0.931</c:v>
                </c:pt>
                <c:pt idx="23">
                  <c:v>0.851</c:v>
                </c:pt>
              </c:numCache>
            </c:numRef>
          </c:yVal>
          <c:smooth val="1"/>
        </c:ser>
        <c:ser>
          <c:idx val="2"/>
          <c:order val="2"/>
          <c:tx>
            <c:strRef>
              <c:f>'Thermal Shutdown Limit Plot'!$D$2</c:f>
              <c:strCache>
                <c:ptCount val="1"/>
                <c:pt idx="0">
                  <c:v>TA = 25C</c:v>
                </c:pt>
              </c:strCache>
            </c:strRef>
          </c:tx>
          <c:spPr bwMode="auto">
            <a:prstGeom prst="rect">
              <a:avLst/>
            </a:prstGeom>
            <a:ln w="38100">
              <a:solidFill>
                <a:schemeClr val="accent4">
                  <a:lumMod val="75000"/>
                </a:schemeClr>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Plot'!$D$41:$D$64</c:f>
              <c:numCache>
                <c:formatCode>General</c:formatCode>
                <c:ptCount val="24"/>
                <c:pt idx="0">
                  <c:v>2733</c:v>
                </c:pt>
                <c:pt idx="1">
                  <c:v>2700</c:v>
                </c:pt>
                <c:pt idx="2">
                  <c:v>1638.82</c:v>
                </c:pt>
                <c:pt idx="3">
                  <c:v>784.93</c:v>
                </c:pt>
                <c:pt idx="4">
                  <c:v>459.33</c:v>
                </c:pt>
                <c:pt idx="5">
                  <c:v>213.53</c:v>
                </c:pt>
                <c:pt idx="6">
                  <c:v>123.95</c:v>
                </c:pt>
                <c:pt idx="7">
                  <c:v>79.46</c:v>
                </c:pt>
                <c:pt idx="8">
                  <c:v>54.73</c:v>
                </c:pt>
                <c:pt idx="9">
                  <c:v>40.365</c:v>
                </c:pt>
                <c:pt idx="10">
                  <c:v>30.63</c:v>
                </c:pt>
                <c:pt idx="11">
                  <c:v>23.6</c:v>
                </c:pt>
                <c:pt idx="12">
                  <c:v>18.58</c:v>
                </c:pt>
                <c:pt idx="13">
                  <c:v>14.66</c:v>
                </c:pt>
                <c:pt idx="14">
                  <c:v>6.7838</c:v>
                </c:pt>
                <c:pt idx="15">
                  <c:v>3.7912</c:v>
                </c:pt>
                <c:pt idx="16">
                  <c:v>2.4745</c:v>
                </c:pt>
                <c:pt idx="17">
                  <c:v>1.8844</c:v>
                </c:pt>
                <c:pt idx="18">
                  <c:v>1.5173</c:v>
                </c:pt>
                <c:pt idx="19">
                  <c:v>1.246</c:v>
                </c:pt>
                <c:pt idx="20">
                  <c:v>1.0385</c:v>
                </c:pt>
                <c:pt idx="21">
                  <c:v>0.91</c:v>
                </c:pt>
                <c:pt idx="22">
                  <c:v>0.83</c:v>
                </c:pt>
                <c:pt idx="23">
                  <c:v>0.703</c:v>
                </c:pt>
              </c:numCache>
            </c:numRef>
          </c:yVal>
          <c:smooth val="1"/>
        </c:ser>
        <c:ser>
          <c:idx val="3"/>
          <c:order val="3"/>
          <c:tx>
            <c:strRef>
              <c:f>'Thermal Shutdown Limit Plot'!$E$2</c:f>
              <c:strCache>
                <c:ptCount val="1"/>
                <c:pt idx="0">
                  <c:v>TA = 85C</c:v>
                </c:pt>
              </c:strCache>
            </c:strRef>
          </c:tx>
          <c:spPr bwMode="auto">
            <a:prstGeom prst="rect">
              <a:avLst/>
            </a:prstGeom>
            <a:ln w="38100">
              <a:solidFill>
                <a:schemeClr val="accent2">
                  <a:lumMod val="75000"/>
                </a:schemeClr>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Plot'!$E$41:$E$64</c:f>
              <c:numCache>
                <c:formatCode>General</c:formatCode>
                <c:ptCount val="24"/>
                <c:pt idx="0">
                  <c:v>2733</c:v>
                </c:pt>
                <c:pt idx="1">
                  <c:v>2328</c:v>
                </c:pt>
                <c:pt idx="2">
                  <c:v>413.52</c:v>
                </c:pt>
                <c:pt idx="3">
                  <c:v>226.7</c:v>
                </c:pt>
                <c:pt idx="4">
                  <c:v>143.384</c:v>
                </c:pt>
                <c:pt idx="5">
                  <c:v>71.962</c:v>
                </c:pt>
                <c:pt idx="6">
                  <c:v>42.06</c:v>
                </c:pt>
                <c:pt idx="7">
                  <c:v>27.352</c:v>
                </c:pt>
                <c:pt idx="8">
                  <c:v>18.89</c:v>
                </c:pt>
                <c:pt idx="9">
                  <c:v>13.7</c:v>
                </c:pt>
                <c:pt idx="10">
                  <c:v>10.195</c:v>
                </c:pt>
                <c:pt idx="11">
                  <c:v>7.88</c:v>
                </c:pt>
                <c:pt idx="12">
                  <c:v>6.2844</c:v>
                </c:pt>
                <c:pt idx="13">
                  <c:v>5.11</c:v>
                </c:pt>
                <c:pt idx="14">
                  <c:v>2.99</c:v>
                </c:pt>
                <c:pt idx="15">
                  <c:v>1.911</c:v>
                </c:pt>
                <c:pt idx="16">
                  <c:v>1.35</c:v>
                </c:pt>
                <c:pt idx="17">
                  <c:v>1</c:v>
                </c:pt>
                <c:pt idx="18">
                  <c:v>0.873</c:v>
                </c:pt>
                <c:pt idx="19">
                  <c:v>0.714</c:v>
                </c:pt>
                <c:pt idx="20">
                  <c:v>0.634</c:v>
                </c:pt>
                <c:pt idx="21">
                  <c:v>0.546</c:v>
                </c:pt>
                <c:pt idx="22">
                  <c:v>0.498</c:v>
                </c:pt>
                <c:pt idx="23">
                  <c:v>0.458</c:v>
                </c:pt>
              </c:numCache>
            </c:numRef>
          </c:yVal>
          <c:smooth val="1"/>
        </c:ser>
        <c:ser>
          <c:idx val="4"/>
          <c:order val="4"/>
          <c:tx>
            <c:strRef>
              <c:f>'Thermal Shutdown Limit Plot'!$F$2</c:f>
              <c:strCache>
                <c:ptCount val="1"/>
                <c:pt idx="0">
                  <c:v>TA = 125C</c:v>
                </c:pt>
              </c:strCache>
            </c:strRef>
          </c:tx>
          <c:spPr bwMode="auto">
            <a:prstGeom prst="rect">
              <a:avLst/>
            </a:prstGeom>
            <a:ln w="38100">
              <a:solidFill>
                <a:srgbClr val="FF0000"/>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Plot'!$F$41:$F$64</c:f>
              <c:numCache>
                <c:formatCode>General</c:formatCode>
                <c:ptCount val="24"/>
                <c:pt idx="0">
                  <c:v>2733</c:v>
                </c:pt>
                <c:pt idx="1">
                  <c:v>405.5</c:v>
                </c:pt>
                <c:pt idx="2">
                  <c:v>134.7</c:v>
                </c:pt>
                <c:pt idx="3">
                  <c:v>78.378</c:v>
                </c:pt>
                <c:pt idx="4">
                  <c:v>50</c:v>
                </c:pt>
                <c:pt idx="5">
                  <c:v>25.7</c:v>
                </c:pt>
                <c:pt idx="6">
                  <c:v>15</c:v>
                </c:pt>
                <c:pt idx="7">
                  <c:v>9.9</c:v>
                </c:pt>
                <c:pt idx="8">
                  <c:v>6.87</c:v>
                </c:pt>
                <c:pt idx="9">
                  <c:v>5.07</c:v>
                </c:pt>
                <c:pt idx="10">
                  <c:v>4.04</c:v>
                </c:pt>
                <c:pt idx="11">
                  <c:v>3.28</c:v>
                </c:pt>
                <c:pt idx="12">
                  <c:v>2.757</c:v>
                </c:pt>
                <c:pt idx="13">
                  <c:v>2.39</c:v>
                </c:pt>
                <c:pt idx="14">
                  <c:v>1.544</c:v>
                </c:pt>
                <c:pt idx="15">
                  <c:v>1.0175</c:v>
                </c:pt>
                <c:pt idx="16">
                  <c:v>0.778</c:v>
                </c:pt>
                <c:pt idx="17">
                  <c:v>0.618</c:v>
                </c:pt>
                <c:pt idx="18">
                  <c:v>0.506</c:v>
                </c:pt>
                <c:pt idx="19">
                  <c:v>0.458</c:v>
                </c:pt>
                <c:pt idx="20">
                  <c:v>0.411</c:v>
                </c:pt>
                <c:pt idx="21">
                  <c:v>0.363</c:v>
                </c:pt>
                <c:pt idx="22">
                  <c:v>0.347</c:v>
                </c:pt>
                <c:pt idx="23">
                  <c:v>0.307</c:v>
                </c:pt>
              </c:numCache>
            </c:numRef>
          </c:yVal>
          <c:smooth val="1"/>
        </c:ser>
        <c:dLbls>
          <c:showBubbleSize val="0"/>
          <c:showCatName val="0"/>
          <c:showLeaderLines val="0"/>
          <c:showLegendKey val="0"/>
          <c:showPercent val="0"/>
          <c:showSerName val="0"/>
          <c:showVal val="0"/>
        </c:dLbls>
        <c:axId val="56624640"/>
        <c:axId val="56626560"/>
      </c:scatterChart>
      <c:scatterChart>
        <c:scatterStyle val="lineMarker"/>
        <c:varyColors val="0"/>
        <c:ser>
          <c:idx val="5"/>
          <c:order val="5"/>
          <c:tx>
            <c:strRef>
              <c:f>'Thermal Shutdown Limit Plot'!$B$34</c:f>
              <c:strCache>
                <c:ptCount val="1"/>
                <c:pt idx="0">
                  <c:v>Maximum Point</c:v>
                </c:pt>
              </c:strCache>
            </c:strRef>
          </c:tx>
          <c:spPr bwMode="auto">
            <a:prstGeom prst="rect">
              <a:avLst/>
            </a:prstGeom>
            <a:ln w="28575">
              <a:noFill/>
            </a:ln>
          </c:spPr>
          <c:marker>
            <c:symbol val="diamond"/>
            <c:size val="14"/>
          </c:marker>
          <c:xVal>
            <c:numRef>
              <c:f>'Thermal Shutdown Limit Plot'!$C$68</c:f>
              <c:numCache>
                <c:formatCode>0.00</c:formatCode>
                <c:ptCount val="1"/>
                <c:pt idx="0">
                  <c:v>25</c:v>
                </c:pt>
              </c:numCache>
            </c:numRef>
          </c:xVal>
          <c:yVal>
            <c:numRef>
              <c:f>'Thermal Shutdown Limit Plot'!$D$68</c:f>
              <c:numCache>
                <c:formatCode>0.00</c:formatCode>
                <c:ptCount val="1"/>
                <c:pt idx="0">
                  <c:v>80</c:v>
                </c:pt>
              </c:numCache>
            </c:numRef>
          </c:yVal>
          <c:smooth val="0"/>
        </c:ser>
        <c:ser>
          <c:idx val="6"/>
          <c:order val="6"/>
          <c:tx>
            <c:strRef>
              <c:f>'Thermal Shutdown Limit Plot'!$B$35</c:f>
              <c:strCache>
                <c:ptCount val="1"/>
                <c:pt idx="0">
                  <c:v>Operating Point</c:v>
                </c:pt>
              </c:strCache>
            </c:strRef>
          </c:tx>
          <c:spPr bwMode="auto">
            <a:prstGeom prst="rect">
              <a:avLst/>
            </a:prstGeom>
            <a:ln w="28575">
              <a:solidFill>
                <a:schemeClr val="tx1"/>
              </a:solidFill>
            </a:ln>
          </c:spPr>
          <c:marker>
            <c:symbol val="triangle"/>
            <c:size val="14"/>
          </c:marker>
          <c:xVal>
            <c:numRef>
              <c:f>'Thermal Shutdown Limit Plot'!$C$69</c:f>
              <c:numCache>
                <c:formatCode>0.00</c:formatCode>
                <c:ptCount val="1"/>
                <c:pt idx="0">
                  <c:v>10.013333333333334</c:v>
                </c:pt>
              </c:numCache>
            </c:numRef>
          </c:xVal>
          <c:yVal>
            <c:numRef>
              <c:f>'Thermal Shutdown Limit Plot'!$D$69</c:f>
              <c:numCache>
                <c:formatCode>0.00</c:formatCode>
                <c:ptCount val="1"/>
                <c:pt idx="0">
                  <c:v>80</c:v>
                </c:pt>
              </c:numCache>
            </c:numRef>
          </c:yVal>
          <c:smooth val="0"/>
        </c:ser>
        <c:dLbls>
          <c:showBubbleSize val="0"/>
          <c:showCatName val="0"/>
          <c:showLeaderLines val="0"/>
          <c:showLegendKey val="0"/>
          <c:showPercent val="0"/>
          <c:showSerName val="0"/>
          <c:showVal val="0"/>
        </c:dLbls>
        <c:axId val="56624640"/>
        <c:axId val="56626560"/>
      </c:scatterChart>
      <c:valAx>
        <c:axId val="56624640"/>
        <c:scaling>
          <c:logBase val="10.000000"/>
          <c:orientation val="minMax"/>
          <c:max val="400.000000"/>
          <c:min val="3.000000"/>
        </c:scaling>
        <c:delete val="0"/>
        <c:axPos val="b"/>
        <c:majorGridlines>
          <c:spPr bwMode="auto"/>
        </c:majorGridlines>
        <c:minorGridlines>
          <c:spPr bwMode="auto"/>
        </c:minorGridlines>
        <c:title>
          <c:tx>
            <c:rich>
              <a:bodyPr/>
              <a:lstStyle/>
              <a:p>
                <a:pPr>
                  <a:defRPr/>
                </a:pPr>
                <a:r>
                  <a:rPr lang="en-US" sz="1600" b="1" i="0"/>
                  <a:t>Power dissipation (W)</a:t>
                </a:r>
                <a:endParaRPr lang="en-US" sz="1600"/>
              </a:p>
            </c:rich>
          </c:tx>
          <c:layout/>
          <c:overlay val="0"/>
        </c:title>
        <c:numFmt formatCode="General" sourceLinked="0"/>
        <c:majorTickMark val="out"/>
        <c:minorTickMark val="out"/>
        <c:tickLblPos val="low"/>
        <c:crossAx val="56626560"/>
        <c:crosses val="autoZero"/>
        <c:crossBetween val="midCat"/>
        <c:majorUnit val="10.000000"/>
        <c:minorUnit val="10.000000"/>
      </c:valAx>
      <c:valAx>
        <c:axId val="56626560"/>
        <c:scaling>
          <c:logBase val="10.000000"/>
          <c:orientation val="minMax"/>
          <c:max val="3000.000000"/>
          <c:min val="0.100000"/>
        </c:scaling>
        <c:delete val="0"/>
        <c:axPos val="l"/>
        <c:majorGridlines>
          <c:spPr bwMode="auto"/>
        </c:majorGridlines>
        <c:minorGridlines>
          <c:spPr bwMode="auto"/>
        </c:minorGridlines>
        <c:title>
          <c:tx>
            <c:rich>
              <a:bodyPr rot="-5400000" vert="horz"/>
              <a:lstStyle/>
              <a:p>
                <a:pPr>
                  <a:defRPr/>
                </a:pPr>
                <a:r>
                  <a:rPr lang="en-US" sz="1600" b="1" i="0"/>
                  <a:t>Thermal Shutdown Time (ms)</a:t>
                </a:r>
                <a:endParaRPr lang="en-US" sz="1600"/>
              </a:p>
            </c:rich>
          </c:tx>
          <c:layout/>
          <c:overlay val="0"/>
        </c:title>
        <c:numFmt formatCode="General" sourceLinked="0"/>
        <c:majorTickMark val="in"/>
        <c:minorTickMark val="in"/>
        <c:tickLblPos val="low"/>
        <c:crossAx val="56624640"/>
        <c:crosses val="autoZero"/>
        <c:crossBetween val="midCat"/>
        <c:majorUnit val="10.000000"/>
        <c:minorUnit val="10.000000"/>
      </c:valAx>
      <c:spPr bwMode="auto">
        <a:prstGeom prst="rect">
          <a:avLst/>
        </a:prstGeom>
        <a:ln w="31750">
          <a:solidFill>
            <a:schemeClr val="tx1"/>
          </a:solidFill>
        </a:ln>
      </c:spPr>
    </c:plotArea>
    <c:legend>
      <c:legendPos val="r"/>
      <c:layout/>
      <c:overlay val="0"/>
    </c:legend>
    <c:plotVisOnly val="1"/>
    <c:dispBlanksAs val="gap"/>
    <c:showDLblsOverMax val="0"/>
  </c:chart>
  <c:spPr bwMode="auto">
    <a:xfrm rot="0">
      <a:off x="0" y="0"/>
      <a:ext cx="0" cy="0"/>
    </a:xfrm>
  </c:spPr>
  <c:printSettings>
    <c:headerFooter/>
    <c:pageMargins l="0.69999999999999996" r="0.69999999999999996" t="0.75" b="0.75" header="0.29999999999999999" footer="0.29999999999999999"/>
    <c:pageSetup/>
  </c:printSettings>
</c:chartSpace>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56029</xdr:colOff>
      <xdr:row>0</xdr:row>
      <xdr:rowOff>44824</xdr:rowOff>
    </xdr:from>
    <xdr:to>
      <xdr:col>19</xdr:col>
      <xdr:colOff>537817</xdr:colOff>
      <xdr:row>28</xdr:row>
      <xdr:rowOff>63874</xdr:rowOff>
    </xdr:to>
    <xdr:pic>
      <xdr:nvPicPr>
        <xdr:cNvPr id="2" name="Picture 1"/>
        <xdr:cNvPicPr>
          <a:picLocks noChangeAspect="1"/>
        </xdr:cNvPicPr>
      </xdr:nvPicPr>
      <xdr:blipFill rotWithShape="1">
        <a:blip r:embed="rId1"/>
        <a:stretch/>
      </xdr:blipFill>
      <xdr:spPr bwMode="auto">
        <a:xfrm>
          <a:off x="56029" y="44824"/>
          <a:ext cx="11979023" cy="535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8</xdr:col>
      <xdr:colOff>73479</xdr:colOff>
      <xdr:row>17</xdr:row>
      <xdr:rowOff>84841</xdr:rowOff>
    </xdr:from>
    <xdr:to>
      <xdr:col>11</xdr:col>
      <xdr:colOff>1698171</xdr:colOff>
      <xdr:row>28</xdr:row>
      <xdr:rowOff>206827</xdr:rowOff>
    </xdr:to>
    <xdr:graphicFrame>
      <xdr:nvGraphicFramePr>
        <xdr:cNvPr id="3" name="Chart 2"/>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8</xdr:col>
      <xdr:colOff>107259</xdr:colOff>
      <xdr:row>29</xdr:row>
      <xdr:rowOff>72358</xdr:rowOff>
    </xdr:from>
    <xdr:to>
      <xdr:col>11</xdr:col>
      <xdr:colOff>1681843</xdr:colOff>
      <xdr:row>38</xdr:row>
      <xdr:rowOff>48987</xdr:rowOff>
    </xdr:to>
    <xdr:graphicFrame>
      <xdr:nvGraphicFramePr>
        <xdr:cNvPr id="6" name="Chart 5"/>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7</xdr:col>
      <xdr:colOff>43542</xdr:colOff>
      <xdr:row>30</xdr:row>
      <xdr:rowOff>118461</xdr:rowOff>
    </xdr:from>
    <xdr:to>
      <xdr:col>21</xdr:col>
      <xdr:colOff>212910</xdr:colOff>
      <xdr:row>32</xdr:row>
      <xdr:rowOff>44825</xdr:rowOff>
    </xdr:to>
    <xdr:sp>
      <xdr:nvSpPr>
        <xdr:cNvPr id="2" name="TextBox 1"/>
        <xdr:cNvSpPr txBox="1"/>
      </xdr:nvSpPr>
      <xdr:spPr bwMode="auto">
        <a:xfrm>
          <a:off x="10991689" y="5889490"/>
          <a:ext cx="8954781" cy="307364"/>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US" sz="1400" b="1" i="0" u="none" strike="noStrike">
              <a:solidFill>
                <a:srgbClr val="FF0000"/>
              </a:solidFill>
              <a:latin typeface="+mn-lt"/>
              <a:ea typeface="+mn-ea"/>
              <a:cs typeface="+mn-cs"/>
            </a:rPr>
            <a:t>Taken on 2-Layer board, 2oz.(0.08-mm thick) with GND plane area: 39cm</a:t>
          </a:r>
          <a:r>
            <a:rPr lang="en-US" sz="1400" b="1" i="0" u="none" strike="noStrike" baseline="30000">
              <a:solidFill>
                <a:srgbClr val="FF0000"/>
              </a:solidFill>
              <a:latin typeface="+mn-lt"/>
              <a:ea typeface="+mn-ea"/>
              <a:cs typeface="+mn-cs"/>
            </a:rPr>
            <a:t>2 </a:t>
          </a:r>
          <a:r>
            <a:rPr lang="en-US" sz="1400" b="1" i="0" u="none" strike="noStrike">
              <a:solidFill>
                <a:srgbClr val="FF0000"/>
              </a:solidFill>
              <a:latin typeface="+mn-lt"/>
              <a:ea typeface="+mn-ea"/>
              <a:cs typeface="+mn-cs"/>
            </a:rPr>
            <a:t>(Top) and 44cm</a:t>
          </a:r>
          <a:r>
            <a:rPr lang="en-US" sz="1400" b="1" i="0" u="none" strike="noStrike" baseline="30000">
              <a:solidFill>
                <a:srgbClr val="FF0000"/>
              </a:solidFill>
              <a:latin typeface="+mn-lt"/>
              <a:ea typeface="+mn-ea"/>
              <a:cs typeface="+mn-cs"/>
            </a:rPr>
            <a:t>2</a:t>
          </a:r>
          <a:r>
            <a:rPr lang="en-US" sz="1400" b="1" i="0" u="none" strike="noStrike">
              <a:solidFill>
                <a:srgbClr val="FF0000"/>
              </a:solidFill>
              <a:latin typeface="+mn-lt"/>
              <a:ea typeface="+mn-ea"/>
              <a:cs typeface="+mn-cs"/>
            </a:rPr>
            <a:t> (bottom)</a:t>
          </a:r>
          <a:endParaRPr lang="en-US" sz="1400" b="1">
            <a:solidFill>
              <a:srgbClr val="FF0000"/>
            </a:solidFill>
          </a:endParaRPr>
        </a:p>
      </xdr:txBody>
    </xdr:sp>
    <xdr:clientData/>
  </xdr:twoCellAnchor>
  <xdr:twoCellAnchor editAs="twoCell">
    <xdr:from>
      <xdr:col>7</xdr:col>
      <xdr:colOff>43543</xdr:colOff>
      <xdr:row>5</xdr:row>
      <xdr:rowOff>5442</xdr:rowOff>
    </xdr:from>
    <xdr:to>
      <xdr:col>21</xdr:col>
      <xdr:colOff>174172</xdr:colOff>
      <xdr:row>30</xdr:row>
      <xdr:rowOff>119741</xdr:rowOff>
    </xdr:to>
    <xdr:graphicFrame>
      <xdr:nvGraphicFramePr>
        <xdr:cNvPr id="7" name="Chart 6"/>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7</xdr:col>
      <xdr:colOff>0</xdr:colOff>
      <xdr:row>39</xdr:row>
      <xdr:rowOff>0</xdr:rowOff>
    </xdr:from>
    <xdr:to>
      <xdr:col>21</xdr:col>
      <xdr:colOff>130629</xdr:colOff>
      <xdr:row>64</xdr:row>
      <xdr:rowOff>100693</xdr:rowOff>
    </xdr:to>
    <xdr:graphicFrame>
      <xdr:nvGraphicFramePr>
        <xdr:cNvPr id="4" name="Chart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6</xdr:col>
      <xdr:colOff>605117</xdr:colOff>
      <xdr:row>65</xdr:row>
      <xdr:rowOff>0</xdr:rowOff>
    </xdr:from>
    <xdr:to>
      <xdr:col>21</xdr:col>
      <xdr:colOff>112058</xdr:colOff>
      <xdr:row>66</xdr:row>
      <xdr:rowOff>78441</xdr:rowOff>
    </xdr:to>
    <xdr:sp>
      <xdr:nvSpPr>
        <xdr:cNvPr id="5" name="TextBox 4"/>
        <xdr:cNvSpPr txBox="1"/>
      </xdr:nvSpPr>
      <xdr:spPr bwMode="auto">
        <a:xfrm>
          <a:off x="10948146" y="12494559"/>
          <a:ext cx="8897471" cy="268941"/>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US" sz="1400" b="1" i="0" u="none" strike="noStrike">
              <a:solidFill>
                <a:srgbClr val="FF0000"/>
              </a:solidFill>
              <a:latin typeface="+mn-lt"/>
              <a:ea typeface="+mn-ea"/>
              <a:cs typeface="+mn-cs"/>
            </a:rPr>
            <a:t>Taken on 2-Layer board, 2oz.(0.08-mm thick) with GND plane area: 44 cm</a:t>
          </a:r>
          <a:r>
            <a:rPr lang="en-US" sz="1400" b="1" i="0" u="none" strike="noStrike" baseline="30000">
              <a:solidFill>
                <a:srgbClr val="FF0000"/>
              </a:solidFill>
              <a:latin typeface="+mn-lt"/>
              <a:ea typeface="+mn-ea"/>
              <a:cs typeface="+mn-cs"/>
            </a:rPr>
            <a:t>2 </a:t>
          </a:r>
          <a:r>
            <a:rPr lang="en-US" sz="1400" b="1" i="0" u="none" strike="noStrike">
              <a:solidFill>
                <a:srgbClr val="FF0000"/>
              </a:solidFill>
              <a:latin typeface="+mn-lt"/>
              <a:ea typeface="+mn-ea"/>
              <a:cs typeface="+mn-cs"/>
            </a:rPr>
            <a:t>(Top) and 45cm</a:t>
          </a:r>
          <a:r>
            <a:rPr lang="en-US" sz="1400" b="1" i="0" u="none" strike="noStrike" baseline="30000">
              <a:solidFill>
                <a:srgbClr val="FF0000"/>
              </a:solidFill>
              <a:latin typeface="+mn-lt"/>
              <a:ea typeface="+mn-ea"/>
              <a:cs typeface="+mn-cs"/>
            </a:rPr>
            <a:t>2</a:t>
          </a:r>
          <a:r>
            <a:rPr lang="en-US" sz="1400" b="1" i="0" u="none" strike="noStrike">
              <a:solidFill>
                <a:srgbClr val="FF0000"/>
              </a:solidFill>
              <a:latin typeface="+mn-lt"/>
              <a:ea typeface="+mn-ea"/>
              <a:cs typeface="+mn-cs"/>
            </a:rPr>
            <a:t> (bottom)</a:t>
          </a:r>
          <a:endParaRPr lang="en-US" sz="1400" b="1">
            <a:solidFill>
              <a:srgbClr val="FF0000"/>
            </a:solidFill>
          </a:endParaRPr>
        </a:p>
      </xdr:txBody>
    </xdr:sp>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hyperlink" Target="http://www.ti.com/product/CSD19537Q3" TargetMode="External"/><Relationship  Id="rId2"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70" workbookViewId="0">
      <selection activeCell="A2" activeCellId="0" sqref="A2:U65"/>
    </sheetView>
  </sheetViews>
  <sheetFormatPr defaultRowHeight="15"/>
  <sheetData>
    <row r="1" ht="43.5" customHeight="1">
      <c r="A1" s="1" t="s">
        <v>0</v>
      </c>
      <c r="B1" s="1"/>
      <c r="C1" s="1"/>
      <c r="D1" s="1"/>
      <c r="E1" s="1"/>
      <c r="F1" s="1"/>
      <c r="G1" s="1"/>
      <c r="H1" s="1"/>
      <c r="I1" s="1"/>
      <c r="J1" s="1"/>
      <c r="K1" s="1"/>
      <c r="L1" s="1"/>
      <c r="M1" s="1"/>
      <c r="N1" s="1"/>
      <c r="O1" s="1"/>
      <c r="P1" s="1"/>
      <c r="Q1" s="1"/>
      <c r="R1" s="1"/>
      <c r="S1" s="1"/>
      <c r="T1" s="1"/>
      <c r="U1" s="1"/>
    </row>
    <row r="2" ht="15" customHeight="1">
      <c r="A2" s="2" t="s">
        <v>1</v>
      </c>
      <c r="B2" s="2"/>
      <c r="C2" s="2"/>
      <c r="D2" s="2"/>
      <c r="E2" s="2"/>
      <c r="F2" s="2"/>
      <c r="G2" s="2"/>
      <c r="H2" s="2"/>
      <c r="I2" s="2"/>
      <c r="J2" s="2"/>
      <c r="K2" s="2"/>
      <c r="L2" s="2"/>
      <c r="M2" s="2"/>
      <c r="N2" s="2"/>
      <c r="O2" s="2"/>
      <c r="P2" s="2"/>
      <c r="Q2" s="2"/>
      <c r="R2" s="2"/>
      <c r="S2" s="2"/>
      <c r="T2" s="2"/>
      <c r="U2" s="2"/>
    </row>
    <row r="3">
      <c r="A3" s="2"/>
      <c r="B3" s="2"/>
      <c r="C3" s="2"/>
      <c r="D3" s="2"/>
      <c r="E3" s="2"/>
      <c r="F3" s="2"/>
      <c r="G3" s="2"/>
      <c r="H3" s="2"/>
      <c r="I3" s="2"/>
      <c r="J3" s="2"/>
      <c r="K3" s="2"/>
      <c r="L3" s="2"/>
      <c r="M3" s="2"/>
      <c r="N3" s="2"/>
      <c r="O3" s="2"/>
      <c r="P3" s="2"/>
      <c r="Q3" s="2"/>
      <c r="R3" s="2"/>
      <c r="S3" s="2"/>
      <c r="T3" s="2"/>
      <c r="U3" s="2"/>
    </row>
    <row r="4">
      <c r="A4" s="2"/>
      <c r="B4" s="2"/>
      <c r="C4" s="2"/>
      <c r="D4" s="2"/>
      <c r="E4" s="2"/>
      <c r="F4" s="2"/>
      <c r="G4" s="2"/>
      <c r="H4" s="2"/>
      <c r="I4" s="2"/>
      <c r="J4" s="2"/>
      <c r="K4" s="2"/>
      <c r="L4" s="2"/>
      <c r="M4" s="2"/>
      <c r="N4" s="2"/>
      <c r="O4" s="2"/>
      <c r="P4" s="2"/>
      <c r="Q4" s="2"/>
      <c r="R4" s="2"/>
      <c r="S4" s="2"/>
      <c r="T4" s="2"/>
      <c r="U4" s="2"/>
    </row>
    <row r="5">
      <c r="A5" s="2"/>
      <c r="B5" s="2"/>
      <c r="C5" s="2"/>
      <c r="D5" s="2"/>
      <c r="E5" s="2"/>
      <c r="F5" s="2"/>
      <c r="G5" s="2"/>
      <c r="H5" s="2"/>
      <c r="I5" s="2"/>
      <c r="J5" s="2"/>
      <c r="K5" s="2"/>
      <c r="L5" s="2"/>
      <c r="M5" s="2"/>
      <c r="N5" s="2"/>
      <c r="O5" s="2"/>
      <c r="P5" s="2"/>
      <c r="Q5" s="2"/>
      <c r="R5" s="2"/>
      <c r="S5" s="2"/>
      <c r="T5" s="2"/>
      <c r="U5" s="2"/>
    </row>
    <row r="6">
      <c r="A6" s="2"/>
      <c r="B6" s="2"/>
      <c r="C6" s="2"/>
      <c r="D6" s="2"/>
      <c r="E6" s="2"/>
      <c r="F6" s="2"/>
      <c r="G6" s="2"/>
      <c r="H6" s="2"/>
      <c r="I6" s="2"/>
      <c r="J6" s="2"/>
      <c r="K6" s="2"/>
      <c r="L6" s="2"/>
      <c r="M6" s="2"/>
      <c r="N6" s="2"/>
      <c r="O6" s="2"/>
      <c r="P6" s="2"/>
      <c r="Q6" s="2"/>
      <c r="R6" s="2"/>
      <c r="S6" s="2"/>
      <c r="T6" s="2"/>
      <c r="U6" s="2"/>
    </row>
    <row r="7">
      <c r="A7" s="2"/>
      <c r="B7" s="2"/>
      <c r="C7" s="2"/>
      <c r="D7" s="2"/>
      <c r="E7" s="2"/>
      <c r="F7" s="2"/>
      <c r="G7" s="2"/>
      <c r="H7" s="2"/>
      <c r="I7" s="2"/>
      <c r="J7" s="2"/>
      <c r="K7" s="2"/>
      <c r="L7" s="2"/>
      <c r="M7" s="2"/>
      <c r="N7" s="2"/>
      <c r="O7" s="2"/>
      <c r="P7" s="2"/>
      <c r="Q7" s="2"/>
      <c r="R7" s="2"/>
      <c r="S7" s="2"/>
      <c r="T7" s="2"/>
      <c r="U7" s="2"/>
    </row>
    <row r="8">
      <c r="A8" s="2"/>
      <c r="B8" s="2"/>
      <c r="C8" s="2"/>
      <c r="D8" s="2"/>
      <c r="E8" s="2"/>
      <c r="F8" s="2"/>
      <c r="G8" s="2"/>
      <c r="H8" s="2"/>
      <c r="I8" s="2"/>
      <c r="J8" s="2"/>
      <c r="K8" s="2"/>
      <c r="L8" s="2"/>
      <c r="M8" s="2"/>
      <c r="N8" s="2"/>
      <c r="O8" s="2"/>
      <c r="P8" s="2"/>
      <c r="Q8" s="2"/>
      <c r="R8" s="2"/>
      <c r="S8" s="2"/>
      <c r="T8" s="2"/>
      <c r="U8" s="2"/>
    </row>
    <row r="9">
      <c r="A9" s="2"/>
      <c r="B9" s="2"/>
      <c r="C9" s="2"/>
      <c r="D9" s="2"/>
      <c r="E9" s="2"/>
      <c r="F9" s="2"/>
      <c r="G9" s="2"/>
      <c r="H9" s="2"/>
      <c r="I9" s="2"/>
      <c r="J9" s="2"/>
      <c r="K9" s="2"/>
      <c r="L9" s="2"/>
      <c r="M9" s="2"/>
      <c r="N9" s="2"/>
      <c r="O9" s="2"/>
      <c r="P9" s="2"/>
      <c r="Q9" s="2"/>
      <c r="R9" s="2"/>
      <c r="S9" s="2"/>
      <c r="T9" s="2"/>
      <c r="U9" s="2"/>
    </row>
    <row r="10">
      <c r="A10" s="2"/>
      <c r="B10" s="2"/>
      <c r="C10" s="2"/>
      <c r="D10" s="2"/>
      <c r="E10" s="2"/>
      <c r="F10" s="2"/>
      <c r="G10" s="2"/>
      <c r="H10" s="2"/>
      <c r="I10" s="2"/>
      <c r="J10" s="2"/>
      <c r="K10" s="2"/>
      <c r="L10" s="2"/>
      <c r="M10" s="2"/>
      <c r="N10" s="2"/>
      <c r="O10" s="2"/>
      <c r="P10" s="2"/>
      <c r="Q10" s="2"/>
      <c r="R10" s="2"/>
      <c r="S10" s="2"/>
      <c r="T10" s="2"/>
      <c r="U10" s="2"/>
    </row>
    <row r="11">
      <c r="A11" s="2"/>
      <c r="B11" s="2"/>
      <c r="C11" s="2"/>
      <c r="D11" s="2"/>
      <c r="E11" s="2"/>
      <c r="F11" s="2"/>
      <c r="G11" s="2"/>
      <c r="H11" s="2"/>
      <c r="I11" s="2"/>
      <c r="J11" s="2"/>
      <c r="K11" s="2"/>
      <c r="L11" s="2"/>
      <c r="M11" s="2"/>
      <c r="N11" s="2"/>
      <c r="O11" s="2"/>
      <c r="P11" s="2"/>
      <c r="Q11" s="2"/>
      <c r="R11" s="2"/>
      <c r="S11" s="2"/>
      <c r="T11" s="2"/>
      <c r="U11" s="2"/>
    </row>
    <row r="12">
      <c r="A12" s="2"/>
      <c r="B12" s="2"/>
      <c r="C12" s="2"/>
      <c r="D12" s="2"/>
      <c r="E12" s="2"/>
      <c r="F12" s="2"/>
      <c r="G12" s="2"/>
      <c r="H12" s="2"/>
      <c r="I12" s="2"/>
      <c r="J12" s="2"/>
      <c r="K12" s="2"/>
      <c r="L12" s="2"/>
      <c r="M12" s="2"/>
      <c r="N12" s="2"/>
      <c r="O12" s="2"/>
      <c r="P12" s="2"/>
      <c r="Q12" s="2"/>
      <c r="R12" s="2"/>
      <c r="S12" s="2"/>
      <c r="T12" s="2"/>
      <c r="U12" s="2"/>
    </row>
    <row r="13">
      <c r="A13" s="2"/>
      <c r="B13" s="2"/>
      <c r="C13" s="2"/>
      <c r="D13" s="2"/>
      <c r="E13" s="2"/>
      <c r="F13" s="2"/>
      <c r="G13" s="2"/>
      <c r="H13" s="2"/>
      <c r="I13" s="2"/>
      <c r="J13" s="2"/>
      <c r="K13" s="2"/>
      <c r="L13" s="2"/>
      <c r="M13" s="2"/>
      <c r="N13" s="2"/>
      <c r="O13" s="2"/>
      <c r="P13" s="2"/>
      <c r="Q13" s="2"/>
      <c r="R13" s="2"/>
      <c r="S13" s="2"/>
      <c r="T13" s="2"/>
      <c r="U13" s="2"/>
    </row>
    <row r="14">
      <c r="A14" s="2"/>
      <c r="B14" s="2"/>
      <c r="C14" s="2"/>
      <c r="D14" s="2"/>
      <c r="E14" s="2"/>
      <c r="F14" s="2"/>
      <c r="G14" s="2"/>
      <c r="H14" s="2"/>
      <c r="I14" s="2"/>
      <c r="J14" s="2"/>
      <c r="K14" s="2"/>
      <c r="L14" s="2"/>
      <c r="M14" s="2"/>
      <c r="N14" s="2"/>
      <c r="O14" s="2"/>
      <c r="P14" s="2"/>
      <c r="Q14" s="2"/>
      <c r="R14" s="2"/>
      <c r="S14" s="2"/>
      <c r="T14" s="2"/>
      <c r="U14" s="2"/>
    </row>
    <row r="15">
      <c r="A15" s="2"/>
      <c r="B15" s="2"/>
      <c r="C15" s="2"/>
      <c r="D15" s="2"/>
      <c r="E15" s="2"/>
      <c r="F15" s="2"/>
      <c r="G15" s="2"/>
      <c r="H15" s="2"/>
      <c r="I15" s="2"/>
      <c r="J15" s="2"/>
      <c r="K15" s="2"/>
      <c r="L15" s="2"/>
      <c r="M15" s="2"/>
      <c r="N15" s="2"/>
      <c r="O15" s="2"/>
      <c r="P15" s="2"/>
      <c r="Q15" s="2"/>
      <c r="R15" s="2"/>
      <c r="S15" s="2"/>
      <c r="T15" s="2"/>
      <c r="U15" s="2"/>
    </row>
    <row r="16">
      <c r="A16" s="2"/>
      <c r="B16" s="2"/>
      <c r="C16" s="2"/>
      <c r="D16" s="2"/>
      <c r="E16" s="2"/>
      <c r="F16" s="2"/>
      <c r="G16" s="2"/>
      <c r="H16" s="2"/>
      <c r="I16" s="2"/>
      <c r="J16" s="2"/>
      <c r="K16" s="2"/>
      <c r="L16" s="2"/>
      <c r="M16" s="2"/>
      <c r="N16" s="2"/>
      <c r="O16" s="2"/>
      <c r="P16" s="2"/>
      <c r="Q16" s="2"/>
      <c r="R16" s="2"/>
      <c r="S16" s="2"/>
      <c r="T16" s="2"/>
      <c r="U16" s="2"/>
    </row>
    <row r="17">
      <c r="A17" s="2"/>
      <c r="B17" s="2"/>
      <c r="C17" s="2"/>
      <c r="D17" s="2"/>
      <c r="E17" s="2"/>
      <c r="F17" s="2"/>
      <c r="G17" s="2"/>
      <c r="H17" s="2"/>
      <c r="I17" s="2"/>
      <c r="J17" s="2"/>
      <c r="K17" s="2"/>
      <c r="L17" s="2"/>
      <c r="M17" s="2"/>
      <c r="N17" s="2"/>
      <c r="O17" s="2"/>
      <c r="P17" s="2"/>
      <c r="Q17" s="2"/>
      <c r="R17" s="2"/>
      <c r="S17" s="2"/>
      <c r="T17" s="2"/>
      <c r="U17" s="2"/>
    </row>
    <row r="18">
      <c r="A18" s="2"/>
      <c r="B18" s="2"/>
      <c r="C18" s="2"/>
      <c r="D18" s="2"/>
      <c r="E18" s="2"/>
      <c r="F18" s="2"/>
      <c r="G18" s="2"/>
      <c r="H18" s="2"/>
      <c r="I18" s="2"/>
      <c r="J18" s="2"/>
      <c r="K18" s="2"/>
      <c r="L18" s="2"/>
      <c r="M18" s="2"/>
      <c r="N18" s="2"/>
      <c r="O18" s="2"/>
      <c r="P18" s="2"/>
      <c r="Q18" s="2"/>
      <c r="R18" s="2"/>
      <c r="S18" s="2"/>
      <c r="T18" s="2"/>
      <c r="U18" s="2"/>
    </row>
    <row r="19">
      <c r="A19" s="2"/>
      <c r="B19" s="2"/>
      <c r="C19" s="2"/>
      <c r="D19" s="2"/>
      <c r="E19" s="2"/>
      <c r="F19" s="2"/>
      <c r="G19" s="2"/>
      <c r="H19" s="2"/>
      <c r="I19" s="2"/>
      <c r="J19" s="2"/>
      <c r="K19" s="2"/>
      <c r="L19" s="2"/>
      <c r="M19" s="2"/>
      <c r="N19" s="2"/>
      <c r="O19" s="2"/>
      <c r="P19" s="2"/>
      <c r="Q19" s="2"/>
      <c r="R19" s="2"/>
      <c r="S19" s="2"/>
      <c r="T19" s="2"/>
      <c r="U19" s="2"/>
    </row>
    <row r="20">
      <c r="A20" s="2"/>
      <c r="B20" s="2"/>
      <c r="C20" s="2"/>
      <c r="D20" s="2"/>
      <c r="E20" s="2"/>
      <c r="F20" s="2"/>
      <c r="G20" s="2"/>
      <c r="H20" s="2"/>
      <c r="I20" s="2"/>
      <c r="J20" s="2"/>
      <c r="K20" s="2"/>
      <c r="L20" s="2"/>
      <c r="M20" s="2"/>
      <c r="N20" s="2"/>
      <c r="O20" s="2"/>
      <c r="P20" s="2"/>
      <c r="Q20" s="2"/>
      <c r="R20" s="2"/>
      <c r="S20" s="2"/>
      <c r="T20" s="2"/>
      <c r="U20" s="2"/>
    </row>
    <row r="21">
      <c r="A21" s="2"/>
      <c r="B21" s="2"/>
      <c r="C21" s="2"/>
      <c r="D21" s="2"/>
      <c r="E21" s="2"/>
      <c r="F21" s="2"/>
      <c r="G21" s="2"/>
      <c r="H21" s="2"/>
      <c r="I21" s="2"/>
      <c r="J21" s="2"/>
      <c r="K21" s="2"/>
      <c r="L21" s="2"/>
      <c r="M21" s="2"/>
      <c r="N21" s="2"/>
      <c r="O21" s="2"/>
      <c r="P21" s="2"/>
      <c r="Q21" s="2"/>
      <c r="R21" s="2"/>
      <c r="S21" s="2"/>
      <c r="T21" s="2"/>
      <c r="U21" s="2"/>
    </row>
    <row r="22">
      <c r="A22" s="2"/>
      <c r="B22" s="2"/>
      <c r="C22" s="2"/>
      <c r="D22" s="2"/>
      <c r="E22" s="2"/>
      <c r="F22" s="2"/>
      <c r="G22" s="2"/>
      <c r="H22" s="2"/>
      <c r="I22" s="2"/>
      <c r="J22" s="2"/>
      <c r="K22" s="2"/>
      <c r="L22" s="2"/>
      <c r="M22" s="2"/>
      <c r="N22" s="2"/>
      <c r="O22" s="2"/>
      <c r="P22" s="2"/>
      <c r="Q22" s="2"/>
      <c r="R22" s="2"/>
      <c r="S22" s="2"/>
      <c r="T22" s="2"/>
      <c r="U22" s="2"/>
    </row>
    <row r="23">
      <c r="A23" s="2"/>
      <c r="B23" s="2"/>
      <c r="C23" s="2"/>
      <c r="D23" s="2"/>
      <c r="E23" s="2"/>
      <c r="F23" s="2"/>
      <c r="G23" s="2"/>
      <c r="H23" s="2"/>
      <c r="I23" s="2"/>
      <c r="J23" s="2"/>
      <c r="K23" s="2"/>
      <c r="L23" s="2"/>
      <c r="M23" s="2"/>
      <c r="N23" s="2"/>
      <c r="O23" s="2"/>
      <c r="P23" s="2"/>
      <c r="Q23" s="2"/>
      <c r="R23" s="2"/>
      <c r="S23" s="2"/>
      <c r="T23" s="2"/>
      <c r="U23" s="2"/>
    </row>
    <row r="24">
      <c r="A24" s="2"/>
      <c r="B24" s="2"/>
      <c r="C24" s="2"/>
      <c r="D24" s="2"/>
      <c r="E24" s="2"/>
      <c r="F24" s="2"/>
      <c r="G24" s="2"/>
      <c r="H24" s="2"/>
      <c r="I24" s="2"/>
      <c r="J24" s="2"/>
      <c r="K24" s="2"/>
      <c r="L24" s="2"/>
      <c r="M24" s="2"/>
      <c r="N24" s="2"/>
      <c r="O24" s="2"/>
      <c r="P24" s="2"/>
      <c r="Q24" s="2"/>
      <c r="R24" s="2"/>
      <c r="S24" s="2"/>
      <c r="T24" s="2"/>
      <c r="U24" s="2"/>
    </row>
    <row r="25">
      <c r="A25" s="2"/>
      <c r="B25" s="2"/>
      <c r="C25" s="2"/>
      <c r="D25" s="2"/>
      <c r="E25" s="2"/>
      <c r="F25" s="2"/>
      <c r="G25" s="2"/>
      <c r="H25" s="2"/>
      <c r="I25" s="2"/>
      <c r="J25" s="2"/>
      <c r="K25" s="2"/>
      <c r="L25" s="2"/>
      <c r="M25" s="2"/>
      <c r="N25" s="2"/>
      <c r="O25" s="2"/>
      <c r="P25" s="2"/>
      <c r="Q25" s="2"/>
      <c r="R25" s="2"/>
      <c r="S25" s="2"/>
      <c r="T25" s="2"/>
      <c r="U25" s="2"/>
    </row>
    <row r="26">
      <c r="A26" s="2"/>
      <c r="B26" s="2"/>
      <c r="C26" s="2"/>
      <c r="D26" s="2"/>
      <c r="E26" s="2"/>
      <c r="F26" s="2"/>
      <c r="G26" s="2"/>
      <c r="H26" s="2"/>
      <c r="I26" s="2"/>
      <c r="J26" s="2"/>
      <c r="K26" s="2"/>
      <c r="L26" s="2"/>
      <c r="M26" s="2"/>
      <c r="N26" s="2"/>
      <c r="O26" s="2"/>
      <c r="P26" s="2"/>
      <c r="Q26" s="2"/>
      <c r="R26" s="2"/>
      <c r="S26" s="2"/>
      <c r="T26" s="2"/>
      <c r="U26" s="2"/>
    </row>
    <row r="27">
      <c r="A27" s="2"/>
      <c r="B27" s="2"/>
      <c r="C27" s="2"/>
      <c r="D27" s="2"/>
      <c r="E27" s="2"/>
      <c r="F27" s="2"/>
      <c r="G27" s="2"/>
      <c r="H27" s="2"/>
      <c r="I27" s="2"/>
      <c r="J27" s="2"/>
      <c r="K27" s="2"/>
      <c r="L27" s="2"/>
      <c r="M27" s="2"/>
      <c r="N27" s="2"/>
      <c r="O27" s="2"/>
      <c r="P27" s="2"/>
      <c r="Q27" s="2"/>
      <c r="R27" s="2"/>
      <c r="S27" s="2"/>
      <c r="T27" s="2"/>
      <c r="U27" s="2"/>
    </row>
    <row r="28">
      <c r="A28" s="2"/>
      <c r="B28" s="2"/>
      <c r="C28" s="2"/>
      <c r="D28" s="2"/>
      <c r="E28" s="2"/>
      <c r="F28" s="2"/>
      <c r="G28" s="2"/>
      <c r="H28" s="2"/>
      <c r="I28" s="2"/>
      <c r="J28" s="2"/>
      <c r="K28" s="2"/>
      <c r="L28" s="2"/>
      <c r="M28" s="2"/>
      <c r="N28" s="2"/>
      <c r="O28" s="2"/>
      <c r="P28" s="2"/>
      <c r="Q28" s="2"/>
      <c r="R28" s="2"/>
      <c r="S28" s="2"/>
      <c r="T28" s="2"/>
      <c r="U28" s="2"/>
    </row>
    <row r="29">
      <c r="A29" s="2"/>
      <c r="B29" s="2"/>
      <c r="C29" s="2"/>
      <c r="D29" s="2"/>
      <c r="E29" s="2"/>
      <c r="F29" s="2"/>
      <c r="G29" s="2"/>
      <c r="H29" s="2"/>
      <c r="I29" s="2"/>
      <c r="J29" s="2"/>
      <c r="K29" s="2"/>
      <c r="L29" s="2"/>
      <c r="M29" s="2"/>
      <c r="N29" s="2"/>
      <c r="O29" s="2"/>
      <c r="P29" s="2"/>
      <c r="Q29" s="2"/>
      <c r="R29" s="2"/>
      <c r="S29" s="2"/>
      <c r="T29" s="2"/>
      <c r="U29" s="2"/>
    </row>
    <row r="30">
      <c r="A30" s="2"/>
      <c r="B30" s="2"/>
      <c r="C30" s="2"/>
      <c r="D30" s="2"/>
      <c r="E30" s="2"/>
      <c r="F30" s="2"/>
      <c r="G30" s="2"/>
      <c r="H30" s="2"/>
      <c r="I30" s="2"/>
      <c r="J30" s="2"/>
      <c r="K30" s="2"/>
      <c r="L30" s="2"/>
      <c r="M30" s="2"/>
      <c r="N30" s="2"/>
      <c r="O30" s="2"/>
      <c r="P30" s="2"/>
      <c r="Q30" s="2"/>
      <c r="R30" s="2"/>
      <c r="S30" s="2"/>
      <c r="T30" s="2"/>
      <c r="U30" s="2"/>
    </row>
    <row r="31">
      <c r="A31" s="2"/>
      <c r="B31" s="2"/>
      <c r="C31" s="2"/>
      <c r="D31" s="2"/>
      <c r="E31" s="2"/>
      <c r="F31" s="2"/>
      <c r="G31" s="2"/>
      <c r="H31" s="2"/>
      <c r="I31" s="2"/>
      <c r="J31" s="2"/>
      <c r="K31" s="2"/>
      <c r="L31" s="2"/>
      <c r="M31" s="2"/>
      <c r="N31" s="2"/>
      <c r="O31" s="2"/>
      <c r="P31" s="2"/>
      <c r="Q31" s="2"/>
      <c r="R31" s="2"/>
      <c r="S31" s="2"/>
      <c r="T31" s="2"/>
      <c r="U31" s="2"/>
    </row>
    <row r="32">
      <c r="A32" s="2"/>
      <c r="B32" s="2"/>
      <c r="C32" s="2"/>
      <c r="D32" s="2"/>
      <c r="E32" s="2"/>
      <c r="F32" s="2"/>
      <c r="G32" s="2"/>
      <c r="H32" s="2"/>
      <c r="I32" s="2"/>
      <c r="J32" s="2"/>
      <c r="K32" s="2"/>
      <c r="L32" s="2"/>
      <c r="M32" s="2"/>
      <c r="N32" s="2"/>
      <c r="O32" s="2"/>
      <c r="P32" s="2"/>
      <c r="Q32" s="2"/>
      <c r="R32" s="2"/>
      <c r="S32" s="2"/>
      <c r="T32" s="2"/>
      <c r="U32" s="2"/>
    </row>
    <row r="33">
      <c r="A33" s="2"/>
      <c r="B33" s="2"/>
      <c r="C33" s="2"/>
      <c r="D33" s="2"/>
      <c r="E33" s="2"/>
      <c r="F33" s="2"/>
      <c r="G33" s="2"/>
      <c r="H33" s="2"/>
      <c r="I33" s="2"/>
      <c r="J33" s="2"/>
      <c r="K33" s="2"/>
      <c r="L33" s="2"/>
      <c r="M33" s="2"/>
      <c r="N33" s="2"/>
      <c r="O33" s="2"/>
      <c r="P33" s="2"/>
      <c r="Q33" s="2"/>
      <c r="R33" s="2"/>
      <c r="S33" s="2"/>
      <c r="T33" s="2"/>
      <c r="U33" s="2"/>
    </row>
    <row r="34">
      <c r="A34" s="2"/>
      <c r="B34" s="2"/>
      <c r="C34" s="2"/>
      <c r="D34" s="2"/>
      <c r="E34" s="2"/>
      <c r="F34" s="2"/>
      <c r="G34" s="2"/>
      <c r="H34" s="2"/>
      <c r="I34" s="2"/>
      <c r="J34" s="2"/>
      <c r="K34" s="2"/>
      <c r="L34" s="2"/>
      <c r="M34" s="2"/>
      <c r="N34" s="2"/>
      <c r="O34" s="2"/>
      <c r="P34" s="2"/>
      <c r="Q34" s="2"/>
      <c r="R34" s="2"/>
      <c r="S34" s="2"/>
      <c r="T34" s="2"/>
      <c r="U34" s="2"/>
    </row>
    <row r="35">
      <c r="A35" s="2"/>
      <c r="B35" s="2"/>
      <c r="C35" s="2"/>
      <c r="D35" s="2"/>
      <c r="E35" s="2"/>
      <c r="F35" s="2"/>
      <c r="G35" s="2"/>
      <c r="H35" s="2"/>
      <c r="I35" s="2"/>
      <c r="J35" s="2"/>
      <c r="K35" s="2"/>
      <c r="L35" s="2"/>
      <c r="M35" s="2"/>
      <c r="N35" s="2"/>
      <c r="O35" s="2"/>
      <c r="P35" s="2"/>
      <c r="Q35" s="2"/>
      <c r="R35" s="2"/>
      <c r="S35" s="2"/>
      <c r="T35" s="2"/>
      <c r="U35" s="2"/>
    </row>
    <row r="36">
      <c r="A36" s="2"/>
      <c r="B36" s="2"/>
      <c r="C36" s="2"/>
      <c r="D36" s="2"/>
      <c r="E36" s="2"/>
      <c r="F36" s="2"/>
      <c r="G36" s="2"/>
      <c r="H36" s="2"/>
      <c r="I36" s="2"/>
      <c r="J36" s="2"/>
      <c r="K36" s="2"/>
      <c r="L36" s="2"/>
      <c r="M36" s="2"/>
      <c r="N36" s="2"/>
      <c r="O36" s="2"/>
      <c r="P36" s="2"/>
      <c r="Q36" s="2"/>
      <c r="R36" s="2"/>
      <c r="S36" s="2"/>
      <c r="T36" s="2"/>
      <c r="U36" s="2"/>
    </row>
    <row r="37">
      <c r="A37" s="2"/>
      <c r="B37" s="2"/>
      <c r="C37" s="2"/>
      <c r="D37" s="2"/>
      <c r="E37" s="2"/>
      <c r="F37" s="2"/>
      <c r="G37" s="2"/>
      <c r="H37" s="2"/>
      <c r="I37" s="2"/>
      <c r="J37" s="2"/>
      <c r="K37" s="2"/>
      <c r="L37" s="2"/>
      <c r="M37" s="2"/>
      <c r="N37" s="2"/>
      <c r="O37" s="2"/>
      <c r="P37" s="2"/>
      <c r="Q37" s="2"/>
      <c r="R37" s="2"/>
      <c r="S37" s="2"/>
      <c r="T37" s="2"/>
      <c r="U37" s="2"/>
    </row>
    <row r="38">
      <c r="A38" s="2"/>
      <c r="B38" s="2"/>
      <c r="C38" s="2"/>
      <c r="D38" s="2"/>
      <c r="E38" s="2"/>
      <c r="F38" s="2"/>
      <c r="G38" s="2"/>
      <c r="H38" s="2"/>
      <c r="I38" s="2"/>
      <c r="J38" s="2"/>
      <c r="K38" s="2"/>
      <c r="L38" s="2"/>
      <c r="M38" s="2"/>
      <c r="N38" s="2"/>
      <c r="O38" s="2"/>
      <c r="P38" s="2"/>
      <c r="Q38" s="2"/>
      <c r="R38" s="2"/>
      <c r="S38" s="2"/>
      <c r="T38" s="2"/>
      <c r="U38" s="2"/>
    </row>
    <row r="39">
      <c r="A39" s="2"/>
      <c r="B39" s="2"/>
      <c r="C39" s="2"/>
      <c r="D39" s="2"/>
      <c r="E39" s="2"/>
      <c r="F39" s="2"/>
      <c r="G39" s="2"/>
      <c r="H39" s="2"/>
      <c r="I39" s="2"/>
      <c r="J39" s="2"/>
      <c r="K39" s="2"/>
      <c r="L39" s="2"/>
      <c r="M39" s="2"/>
      <c r="N39" s="2"/>
      <c r="O39" s="2"/>
      <c r="P39" s="2"/>
      <c r="Q39" s="2"/>
      <c r="R39" s="2"/>
      <c r="S39" s="2"/>
      <c r="T39" s="2"/>
      <c r="U39" s="2"/>
    </row>
    <row r="40">
      <c r="A40" s="2"/>
      <c r="B40" s="2"/>
      <c r="C40" s="2"/>
      <c r="D40" s="2"/>
      <c r="E40" s="2"/>
      <c r="F40" s="2"/>
      <c r="G40" s="2"/>
      <c r="H40" s="2"/>
      <c r="I40" s="2"/>
      <c r="J40" s="2"/>
      <c r="K40" s="2"/>
      <c r="L40" s="2"/>
      <c r="M40" s="2"/>
      <c r="N40" s="2"/>
      <c r="O40" s="2"/>
      <c r="P40" s="2"/>
      <c r="Q40" s="2"/>
      <c r="R40" s="2"/>
      <c r="S40" s="2"/>
      <c r="T40" s="2"/>
      <c r="U40" s="2"/>
    </row>
    <row r="41">
      <c r="A41" s="2"/>
      <c r="B41" s="2"/>
      <c r="C41" s="2"/>
      <c r="D41" s="2"/>
      <c r="E41" s="2"/>
      <c r="F41" s="2"/>
      <c r="G41" s="2"/>
      <c r="H41" s="2"/>
      <c r="I41" s="2"/>
      <c r="J41" s="2"/>
      <c r="K41" s="2"/>
      <c r="L41" s="2"/>
      <c r="M41" s="2"/>
      <c r="N41" s="2"/>
      <c r="O41" s="2"/>
      <c r="P41" s="2"/>
      <c r="Q41" s="2"/>
      <c r="R41" s="2"/>
      <c r="S41" s="2"/>
      <c r="T41" s="2"/>
      <c r="U41" s="2"/>
    </row>
    <row r="42">
      <c r="A42" s="2"/>
      <c r="B42" s="2"/>
      <c r="C42" s="2"/>
      <c r="D42" s="2"/>
      <c r="E42" s="2"/>
      <c r="F42" s="2"/>
      <c r="G42" s="2"/>
      <c r="H42" s="2"/>
      <c r="I42" s="2"/>
      <c r="J42" s="2"/>
      <c r="K42" s="2"/>
      <c r="L42" s="2"/>
      <c r="M42" s="2"/>
      <c r="N42" s="2"/>
      <c r="O42" s="2"/>
      <c r="P42" s="2"/>
      <c r="Q42" s="2"/>
      <c r="R42" s="2"/>
      <c r="S42" s="2"/>
      <c r="T42" s="2"/>
      <c r="U42" s="2"/>
    </row>
    <row r="43">
      <c r="A43" s="2"/>
      <c r="B43" s="2"/>
      <c r="C43" s="2"/>
      <c r="D43" s="2"/>
      <c r="E43" s="2"/>
      <c r="F43" s="2"/>
      <c r="G43" s="2"/>
      <c r="H43" s="2"/>
      <c r="I43" s="2"/>
      <c r="J43" s="2"/>
      <c r="K43" s="2"/>
      <c r="L43" s="2"/>
      <c r="M43" s="2"/>
      <c r="N43" s="2"/>
      <c r="O43" s="2"/>
      <c r="P43" s="2"/>
      <c r="Q43" s="2"/>
      <c r="R43" s="2"/>
      <c r="S43" s="2"/>
      <c r="T43" s="2"/>
      <c r="U43" s="2"/>
    </row>
    <row r="44">
      <c r="A44" s="2"/>
      <c r="B44" s="2"/>
      <c r="C44" s="2"/>
      <c r="D44" s="2"/>
      <c r="E44" s="2"/>
      <c r="F44" s="2"/>
      <c r="G44" s="2"/>
      <c r="H44" s="2"/>
      <c r="I44" s="2"/>
      <c r="J44" s="2"/>
      <c r="K44" s="2"/>
      <c r="L44" s="2"/>
      <c r="M44" s="2"/>
      <c r="N44" s="2"/>
      <c r="O44" s="2"/>
      <c r="P44" s="2"/>
      <c r="Q44" s="2"/>
      <c r="R44" s="2"/>
      <c r="S44" s="2"/>
      <c r="T44" s="2"/>
      <c r="U44" s="2"/>
    </row>
    <row r="45">
      <c r="A45" s="2"/>
      <c r="B45" s="2"/>
      <c r="C45" s="2"/>
      <c r="D45" s="2"/>
      <c r="E45" s="2"/>
      <c r="F45" s="2"/>
      <c r="G45" s="2"/>
      <c r="H45" s="2"/>
      <c r="I45" s="2"/>
      <c r="J45" s="2"/>
      <c r="K45" s="2"/>
      <c r="L45" s="2"/>
      <c r="M45" s="2"/>
      <c r="N45" s="2"/>
      <c r="O45" s="2"/>
      <c r="P45" s="2"/>
      <c r="Q45" s="2"/>
      <c r="R45" s="2"/>
      <c r="S45" s="2"/>
      <c r="T45" s="2"/>
      <c r="U45" s="2"/>
    </row>
    <row r="46">
      <c r="A46" s="2"/>
      <c r="B46" s="2"/>
      <c r="C46" s="2"/>
      <c r="D46" s="2"/>
      <c r="E46" s="2"/>
      <c r="F46" s="2"/>
      <c r="G46" s="2"/>
      <c r="H46" s="2"/>
      <c r="I46" s="2"/>
      <c r="J46" s="2"/>
      <c r="K46" s="2"/>
      <c r="L46" s="2"/>
      <c r="M46" s="2"/>
      <c r="N46" s="2"/>
      <c r="O46" s="2"/>
      <c r="P46" s="2"/>
      <c r="Q46" s="2"/>
      <c r="R46" s="2"/>
      <c r="S46" s="2"/>
      <c r="T46" s="2"/>
      <c r="U46" s="2"/>
    </row>
    <row r="47">
      <c r="A47" s="2"/>
      <c r="B47" s="2"/>
      <c r="C47" s="2"/>
      <c r="D47" s="2"/>
      <c r="E47" s="2"/>
      <c r="F47" s="2"/>
      <c r="G47" s="2"/>
      <c r="H47" s="2"/>
      <c r="I47" s="2"/>
      <c r="J47" s="2"/>
      <c r="K47" s="2"/>
      <c r="L47" s="2"/>
      <c r="M47" s="2"/>
      <c r="N47" s="2"/>
      <c r="O47" s="2"/>
      <c r="P47" s="2"/>
      <c r="Q47" s="2"/>
      <c r="R47" s="2"/>
      <c r="S47" s="2"/>
      <c r="T47" s="2"/>
      <c r="U47" s="2"/>
    </row>
    <row r="48">
      <c r="A48" s="2"/>
      <c r="B48" s="2"/>
      <c r="C48" s="2"/>
      <c r="D48" s="2"/>
      <c r="E48" s="2"/>
      <c r="F48" s="2"/>
      <c r="G48" s="2"/>
      <c r="H48" s="2"/>
      <c r="I48" s="2"/>
      <c r="J48" s="2"/>
      <c r="K48" s="2"/>
      <c r="L48" s="2"/>
      <c r="M48" s="2"/>
      <c r="N48" s="2"/>
      <c r="O48" s="2"/>
      <c r="P48" s="2"/>
      <c r="Q48" s="2"/>
      <c r="R48" s="2"/>
      <c r="S48" s="2"/>
      <c r="T48" s="2"/>
      <c r="U48" s="2"/>
    </row>
    <row r="49">
      <c r="A49" s="2"/>
      <c r="B49" s="2"/>
      <c r="C49" s="2"/>
      <c r="D49" s="2"/>
      <c r="E49" s="2"/>
      <c r="F49" s="2"/>
      <c r="G49" s="2"/>
      <c r="H49" s="2"/>
      <c r="I49" s="2"/>
      <c r="J49" s="2"/>
      <c r="K49" s="2"/>
      <c r="L49" s="2"/>
      <c r="M49" s="2"/>
      <c r="N49" s="2"/>
      <c r="O49" s="2"/>
      <c r="P49" s="2"/>
      <c r="Q49" s="2"/>
      <c r="R49" s="2"/>
      <c r="S49" s="2"/>
      <c r="T49" s="2"/>
      <c r="U49" s="2"/>
    </row>
    <row r="50">
      <c r="A50" s="2"/>
      <c r="B50" s="2"/>
      <c r="C50" s="2"/>
      <c r="D50" s="2"/>
      <c r="E50" s="2"/>
      <c r="F50" s="2"/>
      <c r="G50" s="2"/>
      <c r="H50" s="2"/>
      <c r="I50" s="2"/>
      <c r="J50" s="2"/>
      <c r="K50" s="2"/>
      <c r="L50" s="2"/>
      <c r="M50" s="2"/>
      <c r="N50" s="2"/>
      <c r="O50" s="2"/>
      <c r="P50" s="2"/>
      <c r="Q50" s="2"/>
      <c r="R50" s="2"/>
      <c r="S50" s="2"/>
      <c r="T50" s="2"/>
      <c r="U50" s="2"/>
    </row>
    <row r="51">
      <c r="A51" s="2"/>
      <c r="B51" s="2"/>
      <c r="C51" s="2"/>
      <c r="D51" s="2"/>
      <c r="E51" s="2"/>
      <c r="F51" s="2"/>
      <c r="G51" s="2"/>
      <c r="H51" s="2"/>
      <c r="I51" s="2"/>
      <c r="J51" s="2"/>
      <c r="K51" s="2"/>
      <c r="L51" s="2"/>
      <c r="M51" s="2"/>
      <c r="N51" s="2"/>
      <c r="O51" s="2"/>
      <c r="P51" s="2"/>
      <c r="Q51" s="2"/>
      <c r="R51" s="2"/>
      <c r="S51" s="2"/>
      <c r="T51" s="2"/>
      <c r="U51" s="2"/>
    </row>
    <row r="52">
      <c r="A52" s="2"/>
      <c r="B52" s="2"/>
      <c r="C52" s="2"/>
      <c r="D52" s="2"/>
      <c r="E52" s="2"/>
      <c r="F52" s="2"/>
      <c r="G52" s="2"/>
      <c r="H52" s="2"/>
      <c r="I52" s="2"/>
      <c r="J52" s="2"/>
      <c r="K52" s="2"/>
      <c r="L52" s="2"/>
      <c r="M52" s="2"/>
      <c r="N52" s="2"/>
      <c r="O52" s="2"/>
      <c r="P52" s="2"/>
      <c r="Q52" s="2"/>
      <c r="R52" s="2"/>
      <c r="S52" s="2"/>
      <c r="T52" s="2"/>
      <c r="U52" s="2"/>
    </row>
    <row r="53">
      <c r="A53" s="2"/>
      <c r="B53" s="2"/>
      <c r="C53" s="2"/>
      <c r="D53" s="2"/>
      <c r="E53" s="2"/>
      <c r="F53" s="2"/>
      <c r="G53" s="2"/>
      <c r="H53" s="2"/>
      <c r="I53" s="2"/>
      <c r="J53" s="2"/>
      <c r="K53" s="2"/>
      <c r="L53" s="2"/>
      <c r="M53" s="2"/>
      <c r="N53" s="2"/>
      <c r="O53" s="2"/>
      <c r="P53" s="2"/>
      <c r="Q53" s="2"/>
      <c r="R53" s="2"/>
      <c r="S53" s="2"/>
      <c r="T53" s="2"/>
      <c r="U53" s="2"/>
    </row>
    <row r="54">
      <c r="A54" s="2"/>
      <c r="B54" s="2"/>
      <c r="C54" s="2"/>
      <c r="D54" s="2"/>
      <c r="E54" s="2"/>
      <c r="F54" s="2"/>
      <c r="G54" s="2"/>
      <c r="H54" s="2"/>
      <c r="I54" s="2"/>
      <c r="J54" s="2"/>
      <c r="K54" s="2"/>
      <c r="L54" s="2"/>
      <c r="M54" s="2"/>
      <c r="N54" s="2"/>
      <c r="O54" s="2"/>
      <c r="P54" s="2"/>
      <c r="Q54" s="2"/>
      <c r="R54" s="2"/>
      <c r="S54" s="2"/>
      <c r="T54" s="2"/>
      <c r="U54" s="2"/>
    </row>
    <row r="55">
      <c r="A55" s="2"/>
      <c r="B55" s="2"/>
      <c r="C55" s="2"/>
      <c r="D55" s="2"/>
      <c r="E55" s="2"/>
      <c r="F55" s="2"/>
      <c r="G55" s="2"/>
      <c r="H55" s="2"/>
      <c r="I55" s="2"/>
      <c r="J55" s="2"/>
      <c r="K55" s="2"/>
      <c r="L55" s="2"/>
      <c r="M55" s="2"/>
      <c r="N55" s="2"/>
      <c r="O55" s="2"/>
      <c r="P55" s="2"/>
      <c r="Q55" s="2"/>
      <c r="R55" s="2"/>
      <c r="S55" s="2"/>
      <c r="T55" s="2"/>
      <c r="U55" s="2"/>
    </row>
    <row r="56">
      <c r="A56" s="2"/>
      <c r="B56" s="2"/>
      <c r="C56" s="2"/>
      <c r="D56" s="2"/>
      <c r="E56" s="2"/>
      <c r="F56" s="2"/>
      <c r="G56" s="2"/>
      <c r="H56" s="2"/>
      <c r="I56" s="2"/>
      <c r="J56" s="2"/>
      <c r="K56" s="2"/>
      <c r="L56" s="2"/>
      <c r="M56" s="2"/>
      <c r="N56" s="2"/>
      <c r="O56" s="2"/>
      <c r="P56" s="2"/>
      <c r="Q56" s="2"/>
      <c r="R56" s="2"/>
      <c r="S56" s="2"/>
      <c r="T56" s="2"/>
      <c r="U56" s="2"/>
    </row>
    <row r="57">
      <c r="A57" s="2"/>
      <c r="B57" s="2"/>
      <c r="C57" s="2"/>
      <c r="D57" s="2"/>
      <c r="E57" s="2"/>
      <c r="F57" s="2"/>
      <c r="G57" s="2"/>
      <c r="H57" s="2"/>
      <c r="I57" s="2"/>
      <c r="J57" s="2"/>
      <c r="K57" s="2"/>
      <c r="L57" s="2"/>
      <c r="M57" s="2"/>
      <c r="N57" s="2"/>
      <c r="O57" s="2"/>
      <c r="P57" s="2"/>
      <c r="Q57" s="2"/>
      <c r="R57" s="2"/>
      <c r="S57" s="2"/>
      <c r="T57" s="2"/>
      <c r="U57" s="2"/>
    </row>
    <row r="58">
      <c r="A58" s="2"/>
      <c r="B58" s="2"/>
      <c r="C58" s="2"/>
      <c r="D58" s="2"/>
      <c r="E58" s="2"/>
      <c r="F58" s="2"/>
      <c r="G58" s="2"/>
      <c r="H58" s="2"/>
      <c r="I58" s="2"/>
      <c r="J58" s="2"/>
      <c r="K58" s="2"/>
      <c r="L58" s="2"/>
      <c r="M58" s="2"/>
      <c r="N58" s="2"/>
      <c r="O58" s="2"/>
      <c r="P58" s="2"/>
      <c r="Q58" s="2"/>
      <c r="R58" s="2"/>
      <c r="S58" s="2"/>
      <c r="T58" s="2"/>
      <c r="U58" s="2"/>
    </row>
    <row r="59">
      <c r="A59" s="2"/>
      <c r="B59" s="2"/>
      <c r="C59" s="2"/>
      <c r="D59" s="2"/>
      <c r="E59" s="2"/>
      <c r="F59" s="2"/>
      <c r="G59" s="2"/>
      <c r="H59" s="2"/>
      <c r="I59" s="2"/>
      <c r="J59" s="2"/>
      <c r="K59" s="2"/>
      <c r="L59" s="2"/>
      <c r="M59" s="2"/>
      <c r="N59" s="2"/>
      <c r="O59" s="2"/>
      <c r="P59" s="2"/>
      <c r="Q59" s="2"/>
      <c r="R59" s="2"/>
      <c r="S59" s="2"/>
      <c r="T59" s="2"/>
      <c r="U59" s="2"/>
    </row>
    <row r="60">
      <c r="A60" s="2"/>
      <c r="B60" s="2"/>
      <c r="C60" s="2"/>
      <c r="D60" s="2"/>
      <c r="E60" s="2"/>
      <c r="F60" s="2"/>
      <c r="G60" s="2"/>
      <c r="H60" s="2"/>
      <c r="I60" s="2"/>
      <c r="J60" s="2"/>
      <c r="K60" s="2"/>
      <c r="L60" s="2"/>
      <c r="M60" s="2"/>
      <c r="N60" s="2"/>
      <c r="O60" s="2"/>
      <c r="P60" s="2"/>
      <c r="Q60" s="2"/>
      <c r="R60" s="2"/>
      <c r="S60" s="2"/>
      <c r="T60" s="2"/>
      <c r="U60" s="2"/>
    </row>
    <row r="61">
      <c r="A61" s="2"/>
      <c r="B61" s="2"/>
      <c r="C61" s="2"/>
      <c r="D61" s="2"/>
      <c r="E61" s="2"/>
      <c r="F61" s="2"/>
      <c r="G61" s="2"/>
      <c r="H61" s="2"/>
      <c r="I61" s="2"/>
      <c r="J61" s="2"/>
      <c r="K61" s="2"/>
      <c r="L61" s="2"/>
      <c r="M61" s="2"/>
      <c r="N61" s="2"/>
      <c r="O61" s="2"/>
      <c r="P61" s="2"/>
      <c r="Q61" s="2"/>
      <c r="R61" s="2"/>
      <c r="S61" s="2"/>
      <c r="T61" s="2"/>
      <c r="U61" s="2"/>
    </row>
    <row r="62">
      <c r="A62" s="2"/>
      <c r="B62" s="2"/>
      <c r="C62" s="2"/>
      <c r="D62" s="2"/>
      <c r="E62" s="2"/>
      <c r="F62" s="2"/>
      <c r="G62" s="2"/>
      <c r="H62" s="2"/>
      <c r="I62" s="2"/>
      <c r="J62" s="2"/>
      <c r="K62" s="2"/>
      <c r="L62" s="2"/>
      <c r="M62" s="2"/>
      <c r="N62" s="2"/>
      <c r="O62" s="2"/>
      <c r="P62" s="2"/>
      <c r="Q62" s="2"/>
      <c r="R62" s="2"/>
      <c r="S62" s="2"/>
      <c r="T62" s="2"/>
      <c r="U62" s="2"/>
    </row>
    <row r="63">
      <c r="A63" s="2"/>
      <c r="B63" s="2"/>
      <c r="C63" s="2"/>
      <c r="D63" s="2"/>
      <c r="E63" s="2"/>
      <c r="F63" s="2"/>
      <c r="G63" s="2"/>
      <c r="H63" s="2"/>
      <c r="I63" s="2"/>
      <c r="J63" s="2"/>
      <c r="K63" s="2"/>
      <c r="L63" s="2"/>
      <c r="M63" s="2"/>
      <c r="N63" s="2"/>
      <c r="O63" s="2"/>
      <c r="P63" s="2"/>
      <c r="Q63" s="2"/>
      <c r="R63" s="2"/>
      <c r="S63" s="2"/>
      <c r="T63" s="2"/>
      <c r="U63" s="2"/>
    </row>
    <row r="64">
      <c r="A64" s="2"/>
      <c r="B64" s="2"/>
      <c r="C64" s="2"/>
      <c r="D64" s="2"/>
      <c r="E64" s="2"/>
      <c r="F64" s="2"/>
      <c r="G64" s="2"/>
      <c r="H64" s="2"/>
      <c r="I64" s="2"/>
      <c r="J64" s="2"/>
      <c r="K64" s="2"/>
      <c r="L64" s="2"/>
      <c r="M64" s="2"/>
      <c r="N64" s="2"/>
      <c r="O64" s="2"/>
      <c r="P64" s="2"/>
      <c r="Q64" s="2"/>
      <c r="R64" s="2"/>
      <c r="S64" s="2"/>
      <c r="T64" s="2"/>
      <c r="U64" s="2"/>
    </row>
    <row r="65">
      <c r="A65" s="2"/>
      <c r="B65" s="2"/>
      <c r="C65" s="2"/>
      <c r="D65" s="2"/>
      <c r="E65" s="2"/>
      <c r="F65" s="2"/>
      <c r="G65" s="2"/>
      <c r="H65" s="2"/>
      <c r="I65" s="2"/>
      <c r="J65" s="2"/>
      <c r="K65" s="2"/>
      <c r="L65" s="2"/>
      <c r="M65" s="2"/>
      <c r="N65" s="2"/>
      <c r="O65" s="2"/>
      <c r="P65" s="2"/>
      <c r="Q65" s="2"/>
      <c r="R65" s="2"/>
      <c r="S65" s="2"/>
      <c r="T65" s="2"/>
      <c r="U65" s="2"/>
    </row>
    <row r="66">
      <c r="A66" s="3"/>
      <c r="B66" s="3"/>
      <c r="C66" s="3"/>
      <c r="D66" s="3"/>
      <c r="E66" s="3"/>
      <c r="F66" s="3"/>
      <c r="G66" s="3"/>
      <c r="H66" s="3"/>
      <c r="I66" s="3"/>
      <c r="J66" s="3"/>
      <c r="K66" s="3"/>
      <c r="L66" s="3"/>
      <c r="M66" s="3"/>
      <c r="N66" s="3"/>
      <c r="O66" s="3"/>
      <c r="P66" s="3"/>
      <c r="Q66" s="3"/>
      <c r="R66" s="3"/>
      <c r="S66" s="3"/>
      <c r="T66" s="3"/>
      <c r="U66" s="3"/>
    </row>
    <row r="67">
      <c r="A67" s="3"/>
      <c r="B67" s="3"/>
      <c r="C67" s="3"/>
      <c r="D67" s="3"/>
      <c r="E67" s="3"/>
      <c r="F67" s="3"/>
      <c r="G67" s="3"/>
      <c r="H67" s="3"/>
      <c r="I67" s="3"/>
      <c r="J67" s="3"/>
      <c r="K67" s="3"/>
      <c r="L67" s="3"/>
      <c r="M67" s="3"/>
      <c r="N67" s="3"/>
      <c r="O67" s="3"/>
      <c r="P67" s="3"/>
      <c r="Q67" s="3"/>
      <c r="R67" s="3"/>
      <c r="S67" s="3"/>
      <c r="T67" s="3"/>
      <c r="U67" s="3"/>
    </row>
    <row r="68">
      <c r="A68" s="3"/>
      <c r="B68" s="3"/>
      <c r="C68" s="3"/>
      <c r="D68" s="3"/>
      <c r="E68" s="3"/>
      <c r="F68" s="3"/>
      <c r="G68" s="3"/>
      <c r="H68" s="3"/>
      <c r="I68" s="3"/>
      <c r="J68" s="3"/>
      <c r="K68" s="3"/>
      <c r="L68" s="3"/>
      <c r="M68" s="3"/>
      <c r="N68" s="3"/>
      <c r="O68" s="3"/>
      <c r="P68" s="3"/>
      <c r="Q68" s="3"/>
      <c r="R68" s="3"/>
      <c r="S68" s="3"/>
      <c r="T68" s="3"/>
      <c r="U68" s="3"/>
    </row>
    <row r="69">
      <c r="A69" s="3"/>
      <c r="B69" s="3"/>
      <c r="C69" s="3"/>
      <c r="D69" s="3"/>
      <c r="E69" s="3"/>
      <c r="F69" s="3"/>
      <c r="G69" s="3"/>
      <c r="H69" s="3"/>
      <c r="I69" s="3"/>
      <c r="J69" s="3"/>
      <c r="K69" s="3"/>
      <c r="L69" s="3"/>
      <c r="M69" s="3"/>
      <c r="N69" s="3"/>
      <c r="O69" s="3"/>
      <c r="P69" s="3"/>
      <c r="Q69" s="3"/>
      <c r="R69" s="3"/>
      <c r="S69" s="3"/>
      <c r="T69" s="3"/>
      <c r="U69" s="3"/>
    </row>
    <row r="70">
      <c r="A70" s="3"/>
      <c r="B70" s="3"/>
      <c r="C70" s="3"/>
      <c r="D70" s="3"/>
      <c r="E70" s="3"/>
      <c r="F70" s="3"/>
      <c r="G70" s="3"/>
      <c r="H70" s="3"/>
      <c r="I70" s="3"/>
      <c r="J70" s="3"/>
      <c r="K70" s="3"/>
      <c r="L70" s="3"/>
      <c r="M70" s="3"/>
      <c r="N70" s="3"/>
      <c r="O70" s="3"/>
      <c r="P70" s="3"/>
      <c r="Q70" s="3"/>
      <c r="R70" s="3"/>
      <c r="S70" s="3"/>
      <c r="T70" s="3"/>
      <c r="U70" s="3"/>
    </row>
    <row r="71">
      <c r="A71" s="3"/>
      <c r="B71" s="3"/>
      <c r="C71" s="3"/>
      <c r="D71" s="3"/>
      <c r="E71" s="3"/>
      <c r="F71" s="3"/>
      <c r="G71" s="3"/>
      <c r="H71" s="3"/>
      <c r="I71" s="3"/>
      <c r="J71" s="3"/>
      <c r="K71" s="3"/>
      <c r="L71" s="3"/>
      <c r="M71" s="3"/>
      <c r="N71" s="3"/>
      <c r="O71" s="3"/>
      <c r="P71" s="3"/>
      <c r="Q71" s="3"/>
      <c r="R71" s="3"/>
      <c r="S71" s="3"/>
      <c r="T71" s="3"/>
      <c r="U71" s="3"/>
    </row>
    <row r="72">
      <c r="A72" s="3"/>
      <c r="B72" s="3"/>
      <c r="C72" s="3"/>
      <c r="D72" s="3"/>
      <c r="E72" s="3"/>
      <c r="F72" s="3"/>
      <c r="G72" s="3"/>
      <c r="H72" s="3"/>
      <c r="I72" s="3"/>
      <c r="J72" s="3"/>
      <c r="K72" s="3"/>
      <c r="L72" s="3"/>
      <c r="M72" s="3"/>
      <c r="N72" s="3"/>
      <c r="O72" s="3"/>
      <c r="P72" s="3"/>
      <c r="Q72" s="3"/>
      <c r="R72" s="3"/>
      <c r="S72" s="3"/>
      <c r="T72" s="3"/>
      <c r="U72" s="3"/>
    </row>
    <row r="73">
      <c r="A73" s="3"/>
      <c r="B73" s="3"/>
      <c r="C73" s="3"/>
      <c r="D73" s="3"/>
      <c r="E73" s="3"/>
      <c r="F73" s="3"/>
      <c r="G73" s="3"/>
      <c r="H73" s="3"/>
      <c r="I73" s="3"/>
      <c r="J73" s="3"/>
      <c r="K73" s="3"/>
      <c r="L73" s="3"/>
      <c r="M73" s="3"/>
      <c r="N73" s="3"/>
      <c r="O73" s="3"/>
      <c r="P73" s="3"/>
      <c r="Q73" s="3"/>
      <c r="R73" s="3"/>
      <c r="S73" s="3"/>
      <c r="T73" s="3"/>
      <c r="U73" s="3"/>
    </row>
    <row r="74">
      <c r="A74" s="3"/>
      <c r="B74" s="3"/>
      <c r="C74" s="3"/>
      <c r="D74" s="3"/>
      <c r="E74" s="3"/>
      <c r="F74" s="3"/>
      <c r="G74" s="3"/>
      <c r="H74" s="3"/>
      <c r="I74" s="3"/>
      <c r="J74" s="3"/>
      <c r="K74" s="3"/>
      <c r="L74" s="3"/>
      <c r="M74" s="3"/>
      <c r="N74" s="3"/>
      <c r="O74" s="3"/>
      <c r="P74" s="3"/>
      <c r="Q74" s="3"/>
      <c r="R74" s="3"/>
      <c r="S74" s="3"/>
      <c r="T74" s="3"/>
      <c r="U74" s="3"/>
    </row>
    <row r="75">
      <c r="A75" s="3"/>
      <c r="B75" s="3"/>
      <c r="C75" s="3"/>
      <c r="D75" s="3"/>
      <c r="E75" s="3"/>
      <c r="F75" s="3"/>
      <c r="G75" s="3"/>
      <c r="H75" s="3"/>
      <c r="I75" s="3"/>
      <c r="J75" s="3"/>
      <c r="K75" s="3"/>
      <c r="L75" s="3"/>
      <c r="M75" s="3"/>
      <c r="N75" s="3"/>
      <c r="O75" s="3"/>
      <c r="P75" s="3"/>
      <c r="Q75" s="3"/>
      <c r="R75" s="3"/>
      <c r="S75" s="3"/>
      <c r="T75" s="3"/>
      <c r="U75" s="3"/>
    </row>
    <row r="76">
      <c r="A76" s="3"/>
      <c r="B76" s="3"/>
      <c r="C76" s="3"/>
      <c r="D76" s="3"/>
      <c r="E76" s="3"/>
      <c r="F76" s="3"/>
      <c r="G76" s="3"/>
      <c r="H76" s="3"/>
      <c r="I76" s="3"/>
      <c r="J76" s="3"/>
      <c r="K76" s="3"/>
      <c r="L76" s="3"/>
      <c r="M76" s="3"/>
      <c r="N76" s="3"/>
      <c r="O76" s="3"/>
      <c r="P76" s="3"/>
      <c r="Q76" s="3"/>
      <c r="R76" s="3"/>
      <c r="S76" s="3"/>
      <c r="T76" s="3"/>
      <c r="U76" s="3"/>
    </row>
    <row r="77">
      <c r="A77" s="3"/>
      <c r="B77" s="3"/>
      <c r="C77" s="3"/>
      <c r="D77" s="3"/>
      <c r="E77" s="3"/>
      <c r="F77" s="3"/>
      <c r="G77" s="3"/>
      <c r="H77" s="3"/>
      <c r="I77" s="3"/>
      <c r="J77" s="3"/>
      <c r="K77" s="3"/>
      <c r="L77" s="3"/>
      <c r="M77" s="3"/>
      <c r="N77" s="3"/>
      <c r="O77" s="3"/>
      <c r="P77" s="3"/>
      <c r="Q77" s="3"/>
      <c r="R77" s="3"/>
      <c r="S77" s="3"/>
      <c r="T77" s="3"/>
      <c r="U77" s="3"/>
    </row>
    <row r="78">
      <c r="A78" s="3"/>
      <c r="B78" s="3"/>
      <c r="C78" s="3"/>
      <c r="D78" s="3"/>
      <c r="E78" s="3"/>
      <c r="F78" s="3"/>
      <c r="G78" s="3"/>
      <c r="H78" s="3"/>
      <c r="I78" s="3"/>
      <c r="J78" s="3"/>
      <c r="K78" s="3"/>
      <c r="L78" s="3"/>
      <c r="M78" s="3"/>
      <c r="N78" s="3"/>
      <c r="O78" s="3"/>
      <c r="P78" s="3"/>
      <c r="Q78" s="3"/>
      <c r="R78" s="3"/>
      <c r="S78" s="3"/>
      <c r="T78" s="3"/>
      <c r="U78" s="3"/>
    </row>
    <row r="79">
      <c r="A79" s="3"/>
      <c r="B79" s="3"/>
      <c r="C79" s="3"/>
      <c r="D79" s="3"/>
      <c r="E79" s="3"/>
      <c r="F79" s="3"/>
      <c r="G79" s="3"/>
      <c r="H79" s="3"/>
      <c r="I79" s="3"/>
      <c r="J79" s="3"/>
      <c r="K79" s="3"/>
      <c r="L79" s="3"/>
      <c r="M79" s="3"/>
      <c r="N79" s="3"/>
      <c r="O79" s="3"/>
      <c r="P79" s="3"/>
      <c r="Q79" s="3"/>
      <c r="R79" s="3"/>
      <c r="S79" s="3"/>
      <c r="T79" s="3"/>
      <c r="U79" s="3"/>
    </row>
    <row r="80">
      <c r="A80" s="3"/>
      <c r="B80" s="3"/>
      <c r="C80" s="3"/>
      <c r="D80" s="3"/>
      <c r="E80" s="3"/>
      <c r="F80" s="3"/>
      <c r="G80" s="3"/>
      <c r="H80" s="3"/>
      <c r="I80" s="3"/>
      <c r="J80" s="3"/>
      <c r="K80" s="3"/>
      <c r="L80" s="3"/>
      <c r="M80" s="3"/>
      <c r="N80" s="3"/>
      <c r="O80" s="3"/>
      <c r="P80" s="3"/>
      <c r="Q80" s="3"/>
      <c r="R80" s="3"/>
      <c r="S80" s="3"/>
      <c r="T80" s="3"/>
      <c r="U80" s="3"/>
    </row>
    <row r="81">
      <c r="A81" s="4"/>
      <c r="B81" s="4"/>
      <c r="C81" s="4"/>
      <c r="D81" s="4"/>
      <c r="E81" s="4"/>
      <c r="F81" s="4"/>
      <c r="G81" s="4"/>
      <c r="H81" s="4"/>
      <c r="I81" s="4"/>
      <c r="J81" s="4"/>
      <c r="K81" s="4"/>
      <c r="L81" s="4"/>
      <c r="M81" s="4"/>
      <c r="N81" s="4"/>
      <c r="O81" s="4"/>
      <c r="P81" s="4"/>
      <c r="Q81" s="4"/>
      <c r="R81" s="4"/>
      <c r="S81" s="4"/>
      <c r="T81" s="4"/>
      <c r="U81" s="4"/>
    </row>
    <row r="82">
      <c r="A82" s="4"/>
      <c r="B82" s="4"/>
      <c r="C82" s="4"/>
      <c r="D82" s="4"/>
      <c r="E82" s="4"/>
      <c r="F82" s="4"/>
      <c r="G82" s="4"/>
      <c r="H82" s="4"/>
      <c r="I82" s="4"/>
      <c r="J82" s="4"/>
      <c r="K82" s="4"/>
      <c r="L82" s="4"/>
      <c r="M82" s="4"/>
      <c r="N82" s="4"/>
      <c r="O82" s="4"/>
      <c r="P82" s="4"/>
      <c r="Q82" s="4"/>
      <c r="R82" s="4"/>
      <c r="S82" s="4"/>
      <c r="T82" s="4"/>
      <c r="U82" s="4"/>
    </row>
    <row r="83">
      <c r="A83" s="4"/>
      <c r="B83" s="4"/>
      <c r="C83" s="4"/>
      <c r="D83" s="4"/>
      <c r="E83" s="4"/>
      <c r="F83" s="4"/>
      <c r="G83" s="4"/>
      <c r="H83" s="4"/>
      <c r="I83" s="4"/>
      <c r="J83" s="4"/>
      <c r="K83" s="4"/>
      <c r="L83" s="4"/>
      <c r="M83" s="4"/>
      <c r="N83" s="4"/>
      <c r="O83" s="4"/>
      <c r="P83" s="4"/>
      <c r="Q83" s="4"/>
      <c r="R83" s="4"/>
      <c r="S83" s="4"/>
      <c r="T83" s="4"/>
      <c r="U83" s="4"/>
    </row>
    <row r="84">
      <c r="A84" s="4"/>
      <c r="B84" s="4"/>
      <c r="C84" s="4"/>
      <c r="D84" s="4"/>
      <c r="E84" s="4"/>
      <c r="F84" s="4"/>
      <c r="G84" s="4"/>
      <c r="H84" s="4"/>
      <c r="I84" s="4"/>
      <c r="J84" s="4"/>
      <c r="K84" s="4"/>
      <c r="L84" s="4"/>
      <c r="M84" s="4"/>
      <c r="N84" s="4"/>
      <c r="O84" s="4"/>
      <c r="P84" s="4"/>
      <c r="Q84" s="4"/>
      <c r="R84" s="4"/>
      <c r="S84" s="4"/>
      <c r="T84" s="4"/>
      <c r="U84" s="4"/>
    </row>
    <row r="85">
      <c r="A85" s="4"/>
      <c r="B85" s="4"/>
      <c r="C85" s="4"/>
      <c r="D85" s="4"/>
      <c r="E85" s="4"/>
      <c r="F85" s="4"/>
      <c r="G85" s="4"/>
      <c r="H85" s="4"/>
      <c r="I85" s="4"/>
      <c r="J85" s="4"/>
      <c r="K85" s="4"/>
      <c r="L85" s="4"/>
      <c r="M85" s="4"/>
      <c r="N85" s="4"/>
      <c r="O85" s="4"/>
      <c r="P85" s="4"/>
      <c r="Q85" s="4"/>
      <c r="R85" s="4"/>
      <c r="S85" s="4"/>
      <c r="T85" s="4"/>
      <c r="U85" s="4"/>
    </row>
    <row r="86">
      <c r="A86" s="4"/>
      <c r="B86" s="4"/>
      <c r="C86" s="4"/>
      <c r="D86" s="4"/>
      <c r="E86" s="4"/>
      <c r="F86" s="4"/>
      <c r="G86" s="4"/>
      <c r="H86" s="4"/>
      <c r="I86" s="4"/>
      <c r="J86" s="4"/>
      <c r="K86" s="4"/>
      <c r="L86" s="4"/>
      <c r="M86" s="4"/>
      <c r="N86" s="4"/>
      <c r="O86" s="4"/>
      <c r="P86" s="4"/>
      <c r="Q86" s="4"/>
      <c r="R86" s="4"/>
      <c r="S86" s="4"/>
      <c r="T86" s="4"/>
      <c r="U86" s="4"/>
    </row>
    <row r="87">
      <c r="A87" s="4"/>
      <c r="B87" s="4"/>
      <c r="C87" s="4"/>
      <c r="D87" s="4"/>
      <c r="E87" s="4"/>
      <c r="F87" s="4"/>
      <c r="G87" s="4"/>
      <c r="H87" s="4"/>
      <c r="I87" s="4"/>
      <c r="J87" s="4"/>
      <c r="K87" s="4"/>
      <c r="L87" s="4"/>
      <c r="M87" s="4"/>
      <c r="N87" s="4"/>
      <c r="O87" s="4"/>
      <c r="P87" s="4"/>
      <c r="Q87" s="4"/>
      <c r="R87" s="4"/>
      <c r="S87" s="4"/>
      <c r="T87" s="4"/>
      <c r="U87" s="4"/>
    </row>
    <row r="88">
      <c r="A88" s="4"/>
      <c r="B88" s="4"/>
      <c r="C88" s="4"/>
      <c r="D88" s="4"/>
      <c r="E88" s="4"/>
      <c r="F88" s="4"/>
      <c r="G88" s="4"/>
      <c r="H88" s="4"/>
      <c r="I88" s="4"/>
      <c r="J88" s="4"/>
      <c r="K88" s="4"/>
      <c r="L88" s="4"/>
      <c r="M88" s="4"/>
      <c r="N88" s="4"/>
      <c r="O88" s="4"/>
      <c r="P88" s="4"/>
      <c r="Q88" s="4"/>
      <c r="R88" s="4"/>
      <c r="S88" s="4"/>
      <c r="T88" s="4"/>
      <c r="U88" s="4"/>
    </row>
    <row r="89">
      <c r="A89" s="4"/>
      <c r="B89" s="4"/>
      <c r="C89" s="4"/>
      <c r="D89" s="4"/>
      <c r="E89" s="4"/>
      <c r="F89" s="4"/>
      <c r="G89" s="4"/>
      <c r="H89" s="4"/>
      <c r="I89" s="4"/>
      <c r="J89" s="4"/>
      <c r="K89" s="4"/>
      <c r="L89" s="4"/>
      <c r="M89" s="4"/>
      <c r="N89" s="4"/>
      <c r="O89" s="4"/>
      <c r="P89" s="4"/>
      <c r="Q89" s="4"/>
      <c r="R89" s="4"/>
      <c r="S89" s="4"/>
      <c r="T89" s="4"/>
      <c r="U89" s="4"/>
    </row>
    <row r="90">
      <c r="A90" s="4"/>
      <c r="B90" s="4"/>
      <c r="C90" s="4"/>
      <c r="D90" s="4"/>
      <c r="E90" s="4"/>
      <c r="F90" s="4"/>
      <c r="G90" s="4"/>
      <c r="H90" s="4"/>
      <c r="I90" s="4"/>
      <c r="J90" s="4"/>
      <c r="K90" s="4"/>
      <c r="L90" s="4"/>
      <c r="M90" s="4"/>
      <c r="N90" s="4"/>
      <c r="O90" s="4"/>
      <c r="P90" s="4"/>
      <c r="Q90" s="4"/>
      <c r="R90" s="4"/>
      <c r="S90" s="4"/>
      <c r="T90" s="4"/>
      <c r="U90" s="4"/>
    </row>
    <row r="91">
      <c r="A91" s="4"/>
      <c r="B91" s="4"/>
      <c r="C91" s="4"/>
      <c r="D91" s="4"/>
      <c r="E91" s="4"/>
      <c r="F91" s="4"/>
      <c r="G91" s="4"/>
      <c r="H91" s="4"/>
      <c r="I91" s="4"/>
      <c r="J91" s="4"/>
      <c r="K91" s="4"/>
      <c r="L91" s="4"/>
      <c r="M91" s="4"/>
      <c r="N91" s="4"/>
      <c r="O91" s="4"/>
      <c r="P91" s="4"/>
      <c r="Q91" s="4"/>
      <c r="R91" s="4"/>
      <c r="S91" s="4"/>
      <c r="T91" s="4"/>
      <c r="U91" s="4"/>
    </row>
    <row r="92">
      <c r="A92" s="4"/>
      <c r="B92" s="4"/>
      <c r="C92" s="4"/>
      <c r="D92" s="4"/>
      <c r="E92" s="4"/>
      <c r="F92" s="4"/>
      <c r="G92" s="4"/>
      <c r="H92" s="4"/>
      <c r="I92" s="4"/>
      <c r="J92" s="4"/>
      <c r="K92" s="4"/>
      <c r="L92" s="4"/>
      <c r="M92" s="4"/>
      <c r="N92" s="4"/>
      <c r="O92" s="4"/>
      <c r="P92" s="4"/>
      <c r="Q92" s="4"/>
      <c r="R92" s="4"/>
      <c r="S92" s="4"/>
      <c r="T92" s="4"/>
      <c r="U92" s="4"/>
    </row>
    <row r="93">
      <c r="A93" s="4"/>
      <c r="B93" s="4"/>
      <c r="C93" s="4"/>
      <c r="D93" s="4"/>
      <c r="E93" s="4"/>
      <c r="F93" s="4"/>
      <c r="G93" s="4"/>
      <c r="H93" s="4"/>
      <c r="I93" s="4"/>
      <c r="J93" s="4"/>
      <c r="K93" s="4"/>
      <c r="L93" s="4"/>
      <c r="M93" s="4"/>
      <c r="N93" s="4"/>
      <c r="O93" s="4"/>
      <c r="P93" s="4"/>
      <c r="Q93" s="4"/>
      <c r="R93" s="4"/>
      <c r="S93" s="4"/>
      <c r="T93" s="4"/>
      <c r="U93" s="4"/>
    </row>
    <row r="94">
      <c r="A94" s="4"/>
      <c r="B94" s="4"/>
      <c r="C94" s="4"/>
      <c r="D94" s="4"/>
      <c r="E94" s="4"/>
      <c r="F94" s="4"/>
      <c r="G94" s="4"/>
      <c r="H94" s="4"/>
      <c r="I94" s="4"/>
      <c r="J94" s="4"/>
      <c r="K94" s="4"/>
      <c r="L94" s="4"/>
      <c r="M94" s="4"/>
      <c r="N94" s="4"/>
      <c r="O94" s="4"/>
      <c r="P94" s="4"/>
      <c r="Q94" s="4"/>
      <c r="R94" s="4"/>
      <c r="S94" s="4"/>
      <c r="T94" s="4"/>
      <c r="U94" s="4"/>
    </row>
    <row r="95">
      <c r="A95" s="4"/>
      <c r="B95" s="4"/>
      <c r="C95" s="4"/>
      <c r="D95" s="4"/>
      <c r="E95" s="4"/>
      <c r="F95" s="4"/>
      <c r="G95" s="4"/>
      <c r="H95" s="4"/>
      <c r="I95" s="4"/>
      <c r="J95" s="4"/>
      <c r="K95" s="4"/>
      <c r="L95" s="4"/>
      <c r="M95" s="4"/>
      <c r="N95" s="4"/>
      <c r="O95" s="4"/>
      <c r="P95" s="4"/>
      <c r="Q95" s="4"/>
      <c r="R95" s="4"/>
      <c r="S95" s="4"/>
      <c r="T95" s="4"/>
      <c r="U95" s="4"/>
    </row>
    <row r="96">
      <c r="A96" s="4"/>
      <c r="B96" s="4"/>
      <c r="C96" s="4"/>
      <c r="D96" s="4"/>
      <c r="E96" s="4"/>
      <c r="F96" s="4"/>
      <c r="G96" s="4"/>
      <c r="H96" s="4"/>
      <c r="I96" s="4"/>
      <c r="J96" s="4"/>
      <c r="K96" s="4"/>
      <c r="L96" s="4"/>
      <c r="M96" s="4"/>
      <c r="N96" s="4"/>
      <c r="O96" s="4"/>
      <c r="P96" s="4"/>
      <c r="Q96" s="4"/>
      <c r="R96" s="4"/>
      <c r="S96" s="4"/>
      <c r="T96" s="4"/>
      <c r="U96" s="4"/>
    </row>
    <row r="97">
      <c r="A97" s="4"/>
      <c r="B97" s="4"/>
      <c r="C97" s="4"/>
      <c r="D97" s="4"/>
      <c r="E97" s="4"/>
      <c r="F97" s="4"/>
      <c r="G97" s="4"/>
      <c r="H97" s="4"/>
      <c r="I97" s="4"/>
      <c r="J97" s="4"/>
      <c r="K97" s="4"/>
      <c r="L97" s="4"/>
      <c r="M97" s="4"/>
      <c r="N97" s="4"/>
      <c r="O97" s="4"/>
      <c r="P97" s="4"/>
      <c r="Q97" s="4"/>
      <c r="R97" s="4"/>
      <c r="S97" s="4"/>
      <c r="T97" s="4"/>
      <c r="U97" s="4"/>
    </row>
    <row r="98">
      <c r="A98" s="4"/>
      <c r="B98" s="4"/>
      <c r="C98" s="4"/>
      <c r="D98" s="4"/>
      <c r="E98" s="4"/>
      <c r="F98" s="4"/>
      <c r="G98" s="4"/>
      <c r="H98" s="4"/>
      <c r="I98" s="4"/>
      <c r="J98" s="4"/>
      <c r="K98" s="4"/>
      <c r="L98" s="4"/>
      <c r="M98" s="4"/>
      <c r="N98" s="4"/>
      <c r="O98" s="4"/>
      <c r="P98" s="4"/>
      <c r="Q98" s="4"/>
      <c r="R98" s="4"/>
      <c r="S98" s="4"/>
      <c r="T98" s="4"/>
      <c r="U98" s="4"/>
    </row>
    <row r="99">
      <c r="A99" s="4"/>
      <c r="B99" s="4"/>
      <c r="C99" s="4"/>
      <c r="D99" s="4"/>
      <c r="E99" s="4"/>
      <c r="F99" s="4"/>
      <c r="G99" s="4"/>
      <c r="H99" s="4"/>
      <c r="I99" s="4"/>
      <c r="J99" s="4"/>
      <c r="K99" s="4"/>
      <c r="L99" s="4"/>
      <c r="M99" s="4"/>
      <c r="N99" s="4"/>
      <c r="O99" s="4"/>
      <c r="P99" s="4"/>
      <c r="Q99" s="4"/>
      <c r="R99" s="4"/>
      <c r="S99" s="4"/>
      <c r="T99" s="4"/>
      <c r="U99" s="4"/>
    </row>
    <row r="100">
      <c r="A100" s="4"/>
      <c r="B100" s="4"/>
      <c r="C100" s="4"/>
      <c r="D100" s="4"/>
      <c r="E100" s="4"/>
      <c r="F100" s="4"/>
      <c r="G100" s="4"/>
      <c r="H100" s="4"/>
      <c r="I100" s="4"/>
      <c r="J100" s="4"/>
      <c r="K100" s="4"/>
      <c r="L100" s="4"/>
      <c r="M100" s="4"/>
      <c r="N100" s="4"/>
      <c r="O100" s="4"/>
      <c r="P100" s="4"/>
      <c r="Q100" s="4"/>
      <c r="R100" s="4"/>
      <c r="S100" s="4"/>
      <c r="T100" s="4"/>
      <c r="U100" s="4"/>
    </row>
  </sheetData>
  <sheetProtection password="DD1C" autoFilter="1" deleteColumns="1" deleteRows="1" formatCells="1" formatColumns="1" formatRows="1" insertColumns="1" insertHyperlinks="1" insertRows="1" objects="1" pivotTables="1" scenarios="1" selectLockedCells="0" selectUnlockedCells="0" sheet="1" sort="1"/>
  <mergeCells count="2">
    <mergeCell ref="A1:U1"/>
    <mergeCell ref="A2:U6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C38" activeCellId="0" sqref="C38"/>
    </sheetView>
  </sheetViews>
  <sheetFormatPr defaultRowHeight="15"/>
  <cols>
    <col min="1" max="16384" style="5" width="9.140625"/>
  </cols>
  <sheetData/>
  <sheetProtection password="DD1C" autoFilter="1" deleteColumns="1" deleteRows="1" formatCells="1" formatColumns="1" formatRows="1" insertColumns="1" insertHyperlinks="1" insertRows="1" objects="1" pivotTables="1" scenarios="1" selectLockedCells="0"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2">
    <outlinePr applyStyles="0" summaryBelow="1" summaryRight="1" showOutlineSymbols="1"/>
    <pageSetUpPr autoPageBreaks="1" fitToPage="0"/>
  </sheetPr>
  <sheetViews>
    <sheetView showGridLines="0" zoomScale="55" workbookViewId="0">
      <pane xSplit="2" ySplit="16" topLeftCell="C17" activePane="bottomRight" state="frozen"/>
      <selection activeCell="D80" activeCellId="0" sqref="D80"/>
    </sheetView>
  </sheetViews>
  <sheetFormatPr defaultColWidth="9.140625" defaultRowHeight="18" customHeight="1"/>
  <cols>
    <col customWidth="1" min="1" max="1" style="6" width="2"/>
    <col bestFit="1" customWidth="1" min="2" max="2" style="7" width="113.85546875"/>
    <col bestFit="1" customWidth="1" min="3" max="3" style="8" width="145"/>
    <col customWidth="1" min="4" max="4" style="9" width="27.28515625"/>
    <col bestFit="1" customWidth="1" min="5" max="5" style="10" width="8.28515625"/>
    <col bestFit="1" customWidth="1" min="6" max="6" style="10" width="13.5703125"/>
    <col customWidth="1" hidden="1" min="7" max="7" style="7" width="17.85546875"/>
    <col customWidth="1" min="8" max="8" style="6" width="24.7109375"/>
    <col min="9" max="9" style="6" width="9.140625"/>
    <col customWidth="1" min="10" max="10" style="6" width="20.7109375"/>
    <col customWidth="1" min="11" max="11" style="6" width="17.28515625"/>
    <col customWidth="1" min="12" max="12" style="11" width="50.28515625"/>
    <col customWidth="1" hidden="1" min="13" max="13" style="6" width="16.5703125"/>
    <col customWidth="1" hidden="1" min="14" max="14" style="6" width="26.28515625"/>
    <col min="15" max="16384" style="6" width="9.140625"/>
  </cols>
  <sheetData>
    <row r="1" ht="18" customHeight="1">
      <c r="B1" s="12" t="s">
        <v>2</v>
      </c>
      <c r="C1" s="8"/>
      <c r="D1" s="13"/>
      <c r="E1" s="14"/>
      <c r="F1" s="14"/>
    </row>
    <row r="2" ht="18" customHeight="1">
      <c r="B2" s="15" t="s">
        <v>3</v>
      </c>
      <c r="C2" s="16" t="s">
        <v>4</v>
      </c>
      <c r="D2" s="17" t="s">
        <v>5</v>
      </c>
      <c r="E2" s="18" t="s">
        <v>6</v>
      </c>
      <c r="F2" s="19"/>
    </row>
    <row r="3" ht="30.600000000000001" customHeight="1">
      <c r="B3" s="8"/>
      <c r="C3" s="20" t="s">
        <v>7</v>
      </c>
      <c r="D3" s="13"/>
      <c r="E3" s="14"/>
      <c r="F3" s="14"/>
    </row>
    <row r="4" ht="18" customHeight="1">
      <c r="B4" s="21" t="s">
        <v>8</v>
      </c>
      <c r="C4" s="21" t="s">
        <v>9</v>
      </c>
      <c r="D4" s="22" t="s">
        <v>10</v>
      </c>
      <c r="E4" s="23" t="s">
        <v>11</v>
      </c>
      <c r="F4" s="24" t="s">
        <v>12</v>
      </c>
    </row>
    <row r="5" ht="18" customHeight="1">
      <c r="B5" s="25" t="s">
        <v>13</v>
      </c>
      <c r="C5" s="25" t="s">
        <v>14</v>
      </c>
      <c r="D5" s="26">
        <v>8</v>
      </c>
      <c r="E5" s="27" t="s">
        <v>15</v>
      </c>
      <c r="F5" s="28"/>
    </row>
    <row r="6" ht="18" customHeight="1">
      <c r="B6" s="29" t="s">
        <v>16</v>
      </c>
      <c r="C6" s="29" t="s">
        <v>17</v>
      </c>
      <c r="D6" s="30">
        <v>36</v>
      </c>
      <c r="E6" s="31" t="s">
        <v>15</v>
      </c>
      <c r="F6" s="32"/>
    </row>
    <row r="7" ht="18" customHeight="1">
      <c r="B7" s="29" t="s">
        <v>18</v>
      </c>
      <c r="C7" s="29" t="s">
        <v>19</v>
      </c>
      <c r="D7" s="30">
        <v>24</v>
      </c>
      <c r="E7" s="31" t="s">
        <v>15</v>
      </c>
      <c r="F7" s="32"/>
    </row>
    <row r="8" ht="18" customHeight="1">
      <c r="B8" s="29" t="s">
        <v>20</v>
      </c>
      <c r="C8" s="29" t="s">
        <v>21</v>
      </c>
      <c r="D8" s="26">
        <v>7.7999999999999998</v>
      </c>
      <c r="E8" s="31" t="s">
        <v>15</v>
      </c>
      <c r="F8" s="32"/>
    </row>
    <row r="9" ht="18" customHeight="1">
      <c r="B9" s="29" t="s">
        <v>22</v>
      </c>
      <c r="C9" s="29" t="s">
        <v>23</v>
      </c>
      <c r="D9" s="26">
        <v>37</v>
      </c>
      <c r="E9" s="31" t="s">
        <v>15</v>
      </c>
      <c r="F9" s="32"/>
    </row>
    <row r="10" ht="18" customHeight="1">
      <c r="B10" s="29" t="s">
        <v>24</v>
      </c>
      <c r="C10" s="29" t="s">
        <v>25</v>
      </c>
      <c r="D10" s="30">
        <v>1000</v>
      </c>
      <c r="E10" s="31" t="s">
        <v>26</v>
      </c>
      <c r="F10" s="33">
        <v>0.10000000000000001</v>
      </c>
    </row>
    <row r="11" ht="18" customHeight="1">
      <c r="B11" s="29" t="s">
        <v>27</v>
      </c>
      <c r="C11" s="29" t="s">
        <v>28</v>
      </c>
      <c r="D11" s="34" t="s">
        <v>29</v>
      </c>
      <c r="E11" s="31" t="s">
        <v>30</v>
      </c>
      <c r="F11" s="32"/>
    </row>
    <row r="12" ht="18" customHeight="1">
      <c r="B12" s="29" t="s">
        <v>31</v>
      </c>
      <c r="C12" s="29" t="s">
        <v>32</v>
      </c>
      <c r="D12" s="30">
        <v>50</v>
      </c>
      <c r="E12" s="31" t="s">
        <v>33</v>
      </c>
      <c r="F12" s="32"/>
    </row>
    <row r="13" ht="18" customHeight="1">
      <c r="B13" s="29" t="s">
        <v>34</v>
      </c>
      <c r="C13" s="29" t="s">
        <v>35</v>
      </c>
      <c r="D13" s="35">
        <v>5.2000000000000002</v>
      </c>
      <c r="E13" s="31" t="s">
        <v>36</v>
      </c>
      <c r="F13" s="32"/>
    </row>
    <row r="14" ht="18" customHeight="1">
      <c r="B14" s="36" t="s">
        <v>37</v>
      </c>
      <c r="C14" s="37" t="s">
        <v>38</v>
      </c>
      <c r="D14" s="35">
        <v>0.40000000000000002</v>
      </c>
      <c r="E14" s="38" t="s">
        <v>36</v>
      </c>
      <c r="F14" s="32"/>
    </row>
    <row r="15" ht="18" customHeight="1">
      <c r="B15" s="39" t="s">
        <v>39</v>
      </c>
      <c r="C15" s="40" t="s">
        <v>40</v>
      </c>
      <c r="D15" s="41">
        <f>1.05*(D13+D14)</f>
        <v>5.8800000000000008</v>
      </c>
      <c r="E15" s="38" t="s">
        <v>36</v>
      </c>
      <c r="F15" s="32"/>
    </row>
    <row r="16" ht="18" customHeight="1">
      <c r="B16" s="8"/>
      <c r="D16" s="13"/>
      <c r="E16" s="14"/>
      <c r="F16" s="14"/>
    </row>
    <row r="17" ht="18" customHeight="1">
      <c r="B17" s="42" t="s">
        <v>41</v>
      </c>
      <c r="C17" s="43" t="s">
        <v>42</v>
      </c>
      <c r="D17" s="44"/>
      <c r="E17" s="45"/>
      <c r="F17" s="45"/>
    </row>
    <row r="18">
      <c r="B18" s="29" t="s">
        <v>43</v>
      </c>
      <c r="C18" s="29" t="s">
        <v>44</v>
      </c>
      <c r="D18" s="46">
        <v>15</v>
      </c>
      <c r="E18" s="31" t="s">
        <v>45</v>
      </c>
      <c r="F18" s="47">
        <v>0.01</v>
      </c>
      <c r="M18" s="6">
        <f t="shared" ref="M18:M20" si="0">IF(N18&gt;976,976,IF(N18&lt;100, 100, N18))</f>
        <v>150</v>
      </c>
      <c r="N18" s="6">
        <f t="shared" ref="N18:N20" si="1">IF(D18&lt;=9.88, D18*100, IF(AND(D18&gt;9.88, D18&lt;=98.8),D18*10,IF(AND(D18&gt;98.8, D18&lt;=988), D18, IF(AND(D18&gt;988, D18&lt;=9880), D18/10, IF(AND(D18&gt;9880, D18&lt;=98800), D18/100)))))</f>
        <v>150</v>
      </c>
    </row>
    <row r="19" ht="18" customHeight="1">
      <c r="B19" s="48" t="s">
        <v>46</v>
      </c>
      <c r="C19" s="48" t="s">
        <v>47</v>
      </c>
      <c r="D19" s="49">
        <f>D18*((UVLOref*OVset/(UVset*OVPref))-1)</f>
        <v>56.153846153846153</v>
      </c>
      <c r="E19" s="28" t="s">
        <v>45</v>
      </c>
      <c r="F19" s="50"/>
      <c r="J19" s="11">
        <f>D27</f>
        <v>7.2723033707865161</v>
      </c>
      <c r="K19" s="51" t="s">
        <v>48</v>
      </c>
      <c r="M19" s="6">
        <f t="shared" si="0"/>
        <v>561.53846153846155</v>
      </c>
      <c r="N19" s="6">
        <f t="shared" si="1"/>
        <v>561.53846153846155</v>
      </c>
    </row>
    <row r="20" ht="18" customHeight="1">
      <c r="B20" s="52" t="s">
        <v>49</v>
      </c>
      <c r="C20" s="52" t="s">
        <v>50</v>
      </c>
      <c r="D20" s="49">
        <f>D18*(OVset/OVPref)*(1-(UVLOref/UVset))</f>
        <v>391.34615384615387</v>
      </c>
      <c r="E20" s="28" t="s">
        <v>45</v>
      </c>
      <c r="F20" s="50"/>
      <c r="J20" s="11">
        <f t="shared" ref="J20:J21" si="2">D25</f>
        <v>7.6550561797752801</v>
      </c>
      <c r="K20" s="51" t="s">
        <v>51</v>
      </c>
      <c r="M20" s="6">
        <f t="shared" si="0"/>
        <v>391.34615384615387</v>
      </c>
      <c r="N20" s="6">
        <f t="shared" si="1"/>
        <v>391.34615384615387</v>
      </c>
    </row>
    <row r="21" ht="18" customHeight="1">
      <c r="B21" s="53" t="s">
        <v>52</v>
      </c>
      <c r="C21" s="53"/>
      <c r="D21" s="54"/>
      <c r="E21" s="55"/>
      <c r="F21" s="50"/>
      <c r="J21" s="11">
        <f t="shared" si="2"/>
        <v>36.335999999999999</v>
      </c>
      <c r="K21" s="51" t="s">
        <v>53</v>
      </c>
    </row>
    <row r="22" ht="18" customHeight="1">
      <c r="B22" s="56" t="s">
        <v>43</v>
      </c>
      <c r="C22" s="56" t="s">
        <v>54</v>
      </c>
      <c r="D22" s="41">
        <f t="shared" ref="D22:D24" si="3">G22</f>
        <v>15</v>
      </c>
      <c r="E22" s="28" t="s">
        <v>45</v>
      </c>
      <c r="F22" s="57">
        <f>F18</f>
        <v>0.01</v>
      </c>
      <c r="G22" s="7">
        <f t="shared" ref="G22:G24" si="4">M22/POWER(10,ROUND(LOG10(M18/D18),1))</f>
        <v>15</v>
      </c>
      <c r="M22" s="58">
        <f>INDEX('Res EIA Tables'!E$5:E$196,MATCH(M18,'Res EIA Tables'!E$5:E$196))</f>
        <v>150</v>
      </c>
      <c r="N22" s="6">
        <f t="shared" ref="N22:N24" si="5">POWER(10,ROUND(LOG10(M18/D18),1))</f>
        <v>10</v>
      </c>
    </row>
    <row r="23" ht="18" customHeight="1">
      <c r="B23" s="56" t="s">
        <v>55</v>
      </c>
      <c r="C23" s="56" t="s">
        <v>56</v>
      </c>
      <c r="D23" s="41">
        <f t="shared" si="3"/>
        <v>56.200000000000003</v>
      </c>
      <c r="E23" s="28" t="s">
        <v>45</v>
      </c>
      <c r="F23" s="57">
        <f>F18</f>
        <v>0.01</v>
      </c>
      <c r="G23" s="7">
        <f t="shared" si="4"/>
        <v>56.200000000000003</v>
      </c>
      <c r="M23" s="58">
        <f>INDEX('Res EIA Tables'!E$5:E$196,2+MATCH(M19,'Res EIA Tables'!E$5:E$196))</f>
        <v>562</v>
      </c>
      <c r="N23" s="6">
        <f t="shared" si="5"/>
        <v>10</v>
      </c>
    </row>
    <row r="24" ht="18" customHeight="1">
      <c r="B24" s="56" t="s">
        <v>57</v>
      </c>
      <c r="C24" s="56" t="s">
        <v>58</v>
      </c>
      <c r="D24" s="41">
        <f t="shared" si="3"/>
        <v>383</v>
      </c>
      <c r="E24" s="28" t="s">
        <v>45</v>
      </c>
      <c r="F24" s="57">
        <f>F18</f>
        <v>0.01</v>
      </c>
      <c r="G24" s="59">
        <f t="shared" si="4"/>
        <v>383</v>
      </c>
      <c r="M24" s="58">
        <f>INDEX('Res EIA Tables'!E$5:E$196,MATCH(M20,'Res EIA Tables'!E$5:E$196))</f>
        <v>383</v>
      </c>
      <c r="N24" s="6">
        <f t="shared" si="5"/>
        <v>1</v>
      </c>
    </row>
    <row r="25" ht="18" customHeight="1">
      <c r="B25" s="60" t="s">
        <v>59</v>
      </c>
      <c r="C25" s="60" t="str">
        <f t="shared" ref="C25:C26" si="6">C8</f>
        <v xml:space="preserve">Undervoltage Lockout Set point</v>
      </c>
      <c r="D25" s="17">
        <f>UVLOref*((ROVP+RUVLO+RIN)/(ROVP+RUVLO))</f>
        <v>7.6550561797752801</v>
      </c>
      <c r="E25" s="28" t="s">
        <v>15</v>
      </c>
      <c r="F25" s="61">
        <f>SQRT(F89^2+F22^2+F23^2+F24^2)</f>
        <v>0.026457513110645908</v>
      </c>
    </row>
    <row r="26" ht="18" customHeight="1">
      <c r="B26" s="60" t="s">
        <v>60</v>
      </c>
      <c r="C26" s="60" t="str">
        <f t="shared" si="6"/>
        <v xml:space="preserve">Over Voltage Cut-Off Set point</v>
      </c>
      <c r="D26" s="17">
        <f>OVPref*((ROVP+RUVLO+RIN)/ROVP)</f>
        <v>36.335999999999999</v>
      </c>
      <c r="E26" s="28" t="s">
        <v>15</v>
      </c>
      <c r="F26" s="61">
        <f>SQRT(F91^2+F22^2+F23^2+F24^2)</f>
        <v>0.026457513110645908</v>
      </c>
    </row>
    <row r="27" ht="18" customHeight="1">
      <c r="B27" s="60" t="s">
        <v>61</v>
      </c>
      <c r="C27" s="60" t="s">
        <v>62</v>
      </c>
      <c r="D27" s="17">
        <f>(UVLOref-UVLOhys)*((ROVP+RUVLO+RIN)/(ROVP+RUVLO))</f>
        <v>7.2723033707865161</v>
      </c>
      <c r="E27" s="28" t="s">
        <v>15</v>
      </c>
      <c r="F27" s="61">
        <f>F25</f>
        <v>0.026457513110645908</v>
      </c>
    </row>
    <row r="28" ht="18" customHeight="1">
      <c r="B28" s="62" t="s">
        <v>63</v>
      </c>
      <c r="C28" s="62" t="s">
        <v>64</v>
      </c>
      <c r="D28" s="17">
        <f>UVset*1000/(ROVP+RUVLO+RIN)</f>
        <v>17.173051519154559</v>
      </c>
      <c r="E28" s="28" t="s">
        <v>65</v>
      </c>
      <c r="F28" s="50"/>
    </row>
    <row r="29" ht="18" customHeight="1">
      <c r="B29" s="8"/>
      <c r="D29" s="13"/>
      <c r="E29" s="14"/>
      <c r="F29" s="14"/>
    </row>
    <row r="30" ht="28.5" customHeight="1">
      <c r="B30" s="43" t="s">
        <v>66</v>
      </c>
      <c r="C30" s="43"/>
      <c r="D30" s="44"/>
      <c r="E30" s="45"/>
      <c r="F30" s="45"/>
    </row>
    <row r="31" ht="18" customHeight="1">
      <c r="B31" s="48" t="s">
        <v>67</v>
      </c>
      <c r="C31" s="48" t="s">
        <v>68</v>
      </c>
      <c r="D31" s="17">
        <f>MAX((18/(Ilimit)),3)</f>
        <v>3.0612244897959178</v>
      </c>
      <c r="E31" s="28" t="s">
        <v>45</v>
      </c>
      <c r="F31" s="63">
        <v>0.01</v>
      </c>
      <c r="J31" s="11">
        <f>Icharge</f>
        <v>0.41111111111111109</v>
      </c>
      <c r="K31" s="51" t="s">
        <v>69</v>
      </c>
      <c r="M31" s="6">
        <f>IF(D31&lt;10, D31*100, IF(AND(D31&gt;=10, D31&lt;100),D31*10,IF(AND(D31&gt;=100, D31&lt;1000), D31, IF(D31&gt;=1000, D31/10))))</f>
        <v>306.12244897959175</v>
      </c>
    </row>
    <row r="32" ht="18" customHeight="1">
      <c r="B32" s="53" t="s">
        <v>70</v>
      </c>
      <c r="C32" s="53"/>
      <c r="D32" s="64"/>
      <c r="E32" s="31"/>
      <c r="F32" s="32"/>
      <c r="J32" s="11">
        <f>Ilimit_final</f>
        <v>5.9800664451827235</v>
      </c>
      <c r="K32" s="51" t="s">
        <v>71</v>
      </c>
    </row>
    <row r="33" ht="18" customHeight="1">
      <c r="B33" s="56" t="s">
        <v>72</v>
      </c>
      <c r="C33" s="56" t="s">
        <v>73</v>
      </c>
      <c r="D33" s="41">
        <f>G33</f>
        <v>3.0100000000000002</v>
      </c>
      <c r="E33" s="28" t="s">
        <v>45</v>
      </c>
      <c r="F33" s="57">
        <f>F31</f>
        <v>0.01</v>
      </c>
      <c r="G33" s="59">
        <f>M33*D31/M31</f>
        <v>3.0100000000000002</v>
      </c>
      <c r="J33" s="11" t="e">
        <f>#REF!</f>
        <v>#REF!</v>
      </c>
      <c r="K33" s="51" t="s">
        <v>74</v>
      </c>
      <c r="M33" s="6">
        <f>INDEX('Res EIA Tables'!E$5:E$196,MATCH(M31,'Res EIA Tables'!E$5:E$196))</f>
        <v>301</v>
      </c>
    </row>
    <row r="34" ht="18" customHeight="1">
      <c r="B34" s="48" t="s">
        <v>75</v>
      </c>
      <c r="C34" s="48" t="s">
        <v>76</v>
      </c>
      <c r="D34" s="17">
        <f>18/Rilim</f>
        <v>5.9800664451827235</v>
      </c>
      <c r="E34" s="31" t="s">
        <v>36</v>
      </c>
      <c r="F34" s="65">
        <f>SQRT(M34^2+F33^2)</f>
        <v>0.050990195135927854</v>
      </c>
      <c r="J34" s="11"/>
      <c r="K34" s="51"/>
      <c r="M34" s="66">
        <f>IF(Imax&lt;0.3, 0.12,0.05)</f>
        <v>0.050000000000000003</v>
      </c>
    </row>
    <row r="35" ht="18" customHeight="1">
      <c r="B35" s="8"/>
      <c r="D35" s="13"/>
      <c r="E35" s="14"/>
      <c r="F35" s="14"/>
    </row>
    <row r="36" ht="9" customHeight="1">
      <c r="B36" s="8"/>
      <c r="D36" s="13"/>
      <c r="E36" s="14"/>
      <c r="F36" s="14"/>
    </row>
    <row r="37" ht="31.149999999999999" customHeight="1">
      <c r="B37" s="43" t="s">
        <v>77</v>
      </c>
      <c r="C37" s="43"/>
      <c r="D37" s="44"/>
      <c r="E37" s="45"/>
      <c r="F37" s="45"/>
    </row>
    <row r="38" ht="18" hidden="1" customHeight="1">
      <c r="B38" s="48" t="s">
        <v>78</v>
      </c>
      <c r="C38" s="48" t="s">
        <v>79</v>
      </c>
      <c r="D38" s="67">
        <f>0.5*Vinmax/24</f>
        <v>0.75</v>
      </c>
      <c r="E38" s="28" t="s">
        <v>80</v>
      </c>
      <c r="F38" s="50"/>
    </row>
    <row r="39" ht="18" customHeight="1">
      <c r="B39" s="48" t="s">
        <v>81</v>
      </c>
      <c r="C39" s="48" t="s">
        <v>82</v>
      </c>
      <c r="D39" s="68">
        <f>(Cout*10^-3*Vinmax)/(INRUSH)</f>
        <v>90</v>
      </c>
      <c r="E39" s="28" t="s">
        <v>80</v>
      </c>
      <c r="F39" s="50"/>
    </row>
    <row r="40" ht="23.25" hidden="1">
      <c r="B40" s="29" t="s">
        <v>83</v>
      </c>
      <c r="C40" s="29" t="s">
        <v>84</v>
      </c>
      <c r="D40" s="30">
        <v>15</v>
      </c>
      <c r="E40" s="28" t="s">
        <v>80</v>
      </c>
      <c r="F40" s="50"/>
    </row>
    <row r="41" ht="18" customHeight="1">
      <c r="B41" s="48" t="s">
        <v>85</v>
      </c>
      <c r="C41" s="48" t="s">
        <v>86</v>
      </c>
      <c r="D41" s="69">
        <f>MAX(((I_dvdt*Gain_dvdt*Cout*10^-6)/INRUSH),0.022)</f>
        <v>0.12</v>
      </c>
      <c r="E41" s="28" t="s">
        <v>26</v>
      </c>
      <c r="F41" s="63">
        <f>M41</f>
        <v>0.10000000000000001</v>
      </c>
      <c r="M41" s="70">
        <f>IF(Cdvdt_cal1&lt;=0.1,0.05,0.1)</f>
        <v>0.10000000000000001</v>
      </c>
    </row>
    <row r="42" ht="18" hidden="1" customHeight="1">
      <c r="B42" s="48" t="s">
        <v>87</v>
      </c>
      <c r="C42" s="48" t="s">
        <v>88</v>
      </c>
      <c r="D42" s="69">
        <f>MAX(((Tdvdt_req*10^-3*Gain_dvdt*I_dvdt)/OVset),0.022)</f>
        <v>0.021999999999999999</v>
      </c>
      <c r="E42" s="28" t="s">
        <v>26</v>
      </c>
      <c r="F42" s="63">
        <v>0.050000000000000003</v>
      </c>
      <c r="M42" s="70">
        <f>IF(Cdvdt_cal2&lt;=0.1,0.05,0.1)</f>
        <v>0.050000000000000003</v>
      </c>
    </row>
    <row r="43" ht="18" hidden="1" customHeight="1">
      <c r="B43" s="71" t="s">
        <v>89</v>
      </c>
      <c r="C43" s="72"/>
      <c r="D43" s="54"/>
      <c r="E43" s="28"/>
      <c r="F43" s="50"/>
    </row>
    <row r="44" ht="18" hidden="1" customHeight="1">
      <c r="B44" s="29" t="s">
        <v>90</v>
      </c>
      <c r="C44" s="29" t="s">
        <v>91</v>
      </c>
      <c r="D44" s="73">
        <f>D41</f>
        <v>0.12</v>
      </c>
      <c r="E44" s="28" t="s">
        <v>26</v>
      </c>
      <c r="F44" s="74">
        <f>F41</f>
        <v>0.10000000000000001</v>
      </c>
    </row>
    <row r="45" ht="18" hidden="1" customHeight="1">
      <c r="B45" s="48" t="s">
        <v>92</v>
      </c>
      <c r="C45" s="48" t="s">
        <v>93</v>
      </c>
      <c r="D45" s="75">
        <f>((Cdvdt*10^3*Vinmax)/(I_dvdt*Gain_dvdt))</f>
        <v>90</v>
      </c>
      <c r="E45" s="31" t="s">
        <v>80</v>
      </c>
      <c r="F45" s="65">
        <f>SQRT(F92^2+F44^2+F93^2)</f>
        <v>0.12247448713915891</v>
      </c>
    </row>
    <row r="46" ht="18" hidden="1" customHeight="1">
      <c r="B46" s="76" t="s">
        <v>94</v>
      </c>
      <c r="C46" s="76" t="s">
        <v>95</v>
      </c>
      <c r="D46" s="17">
        <f>(Cout*10^-6*OVset)/(Tdvdt*10^-3)</f>
        <v>0.41111111111111109</v>
      </c>
      <c r="E46" s="31" t="s">
        <v>36</v>
      </c>
      <c r="F46" s="50"/>
    </row>
    <row r="47" ht="21">
      <c r="B47" s="62" t="s">
        <v>96</v>
      </c>
      <c r="C47" s="62" t="s">
        <v>97</v>
      </c>
      <c r="D47" s="17">
        <f>(Cout*10^-6*OVset)/(Tdvdt*10^-3)+OVset/RLstart</f>
        <v>1.1511111111111112</v>
      </c>
      <c r="E47" s="28" t="s">
        <v>36</v>
      </c>
      <c r="F47" s="50"/>
    </row>
    <row r="48" ht="18" customHeight="1">
      <c r="B48" s="8"/>
      <c r="D48" s="13"/>
      <c r="E48" s="14"/>
      <c r="F48" s="14"/>
    </row>
    <row r="49" ht="18" customHeight="1">
      <c r="B49" s="43" t="s">
        <v>98</v>
      </c>
      <c r="C49" s="43"/>
      <c r="D49" s="43"/>
      <c r="E49" s="43"/>
      <c r="F49" s="45"/>
    </row>
    <row r="50" ht="18" customHeight="1">
      <c r="B50" s="48" t="s">
        <v>99</v>
      </c>
      <c r="C50" s="48" t="s">
        <v>100</v>
      </c>
      <c r="D50" s="17">
        <f>0.5*Vinmax*Icharge</f>
        <v>7.3999999999999995</v>
      </c>
      <c r="E50" s="31" t="s">
        <v>101</v>
      </c>
      <c r="F50" s="32"/>
    </row>
    <row r="51" ht="18" customHeight="1">
      <c r="B51" s="48" t="s">
        <v>102</v>
      </c>
      <c r="C51" s="48" t="s">
        <v>103</v>
      </c>
      <c r="D51" s="17">
        <f>(1/6)*(Vinmax^2)/RLstart</f>
        <v>4.3200000000000003</v>
      </c>
      <c r="E51" s="28" t="s">
        <v>101</v>
      </c>
      <c r="F51" s="50"/>
    </row>
    <row r="52" ht="18" customHeight="1">
      <c r="B52" s="48" t="s">
        <v>104</v>
      </c>
      <c r="C52" s="48" t="s">
        <v>105</v>
      </c>
      <c r="D52" s="17">
        <f>D50+D51</f>
        <v>11.719999999999999</v>
      </c>
      <c r="E52" s="28" t="s">
        <v>101</v>
      </c>
      <c r="F52" s="50"/>
    </row>
    <row r="53" ht="18" customHeight="1">
      <c r="B53" s="48"/>
      <c r="C53" s="48" t="s">
        <v>106</v>
      </c>
      <c r="D53" s="17">
        <f>INDEX('Thermal Shutdown Limit Plot'!A2:A25,IF(Ta="TA = 25C", (MATCH(Tdvdt,'Thermal Shutdown Limit Plot'!D2:D25,-1)), IF(Ta="TA = 85C", (MATCH(Tdvdt, 'Thermal Shutdown Limit Plot'!E2:E25,-1)), IF(Ta="TA = 125C", (MATCH(Tdvdt,'Thermal Shutdown Limit Plot'!F2:F25,-1)),IF(Ta="TA = 0C", (MATCH(Tdvdt,'Thermal Shutdown Limit Plot'!C2:C25,-1)),IF(Ta="TA = -40C", (MATCH(Tdvdt,'Thermal Shutdown Limit Plot'!B2:B25,-1)),0))))))</f>
        <v>15</v>
      </c>
      <c r="E53" s="28" t="s">
        <v>101</v>
      </c>
      <c r="F53" s="50"/>
    </row>
    <row r="54">
      <c r="B54" s="48"/>
      <c r="C54" s="48" t="s">
        <v>107</v>
      </c>
      <c r="D54" s="17">
        <f>INDEX('Thermal Shutdown Limit Plot'!A41:A64,IF(Ta="TA = 25C", (MATCH(Tdvdt,'Thermal Shutdown Limit Plot'!D41:D64,-1)), IF(Ta="TA = 85C", (MATCH(Tdvdt, 'Thermal Shutdown Limit Plot'!E41:E64,-1)), IF(Ta="TA = 125C", (MATCH(Tdvdt,'Thermal Shutdown Limit Plot'!F41:F64,-1)),IF(Ta="TA = 0C", (MATCH(Tdvdt,'Thermal Shutdown Limit Plot'!C41:C64,-1)),IF(Ta="TA = -40C", (MATCH(Tdvdt,'Thermal Shutdown Limit Plot'!B41:B64,-1)),0))))))</f>
        <v>25</v>
      </c>
      <c r="E54" s="28" t="s">
        <v>101</v>
      </c>
      <c r="F54" s="50"/>
    </row>
    <row r="55">
      <c r="B55" s="62"/>
      <c r="C55" s="62" t="s">
        <v>108</v>
      </c>
      <c r="D55" s="17" t="str">
        <f>IF(D52&lt;D53,"NO","YES")</f>
        <v>NO</v>
      </c>
      <c r="E55" s="28"/>
      <c r="F55" s="50"/>
    </row>
    <row r="56">
      <c r="B56" s="62"/>
      <c r="C56" s="62" t="s">
        <v>109</v>
      </c>
      <c r="D56" s="17" t="str">
        <f>IF(D52&lt;D54,"NO","YES")</f>
        <v>NO</v>
      </c>
      <c r="E56" s="28"/>
      <c r="F56" s="50"/>
    </row>
    <row r="57" ht="18" customHeight="1">
      <c r="B57" s="8"/>
      <c r="D57" s="13"/>
      <c r="E57" s="14"/>
      <c r="F57" s="14"/>
    </row>
    <row r="58" ht="18.75">
      <c r="B58" s="43" t="s">
        <v>110</v>
      </c>
      <c r="C58" s="43" t="s">
        <v>111</v>
      </c>
      <c r="D58" s="43"/>
      <c r="E58" s="43"/>
      <c r="F58" s="77"/>
    </row>
    <row r="59" ht="18" customHeight="1">
      <c r="B59" s="29" t="s">
        <v>112</v>
      </c>
      <c r="C59" s="29" t="s">
        <v>113</v>
      </c>
      <c r="D59" s="26">
        <v>12</v>
      </c>
      <c r="E59" s="31" t="s">
        <v>15</v>
      </c>
      <c r="F59" s="31"/>
    </row>
    <row r="60" ht="18" customHeight="1">
      <c r="B60" s="29" t="s">
        <v>114</v>
      </c>
      <c r="C60" s="29" t="s">
        <v>115</v>
      </c>
      <c r="D60" s="26">
        <v>499</v>
      </c>
      <c r="E60" s="28" t="s">
        <v>45</v>
      </c>
      <c r="F60" s="31"/>
    </row>
    <row r="61" ht="18" customHeight="1">
      <c r="B61" s="48" t="s">
        <v>116</v>
      </c>
      <c r="C61" s="48" t="s">
        <v>117</v>
      </c>
      <c r="D61" s="17">
        <f>(D60*PGTHR)/(PGSET-PGTHR)</f>
        <v>55.444444444444436</v>
      </c>
      <c r="E61" s="28" t="s">
        <v>45</v>
      </c>
      <c r="F61" s="78"/>
    </row>
    <row r="62" ht="18" customHeight="1">
      <c r="B62" s="48" t="s">
        <v>118</v>
      </c>
      <c r="C62" s="48" t="s">
        <v>119</v>
      </c>
      <c r="D62" s="17">
        <f>PGTHF*(D60+D61)/D61</f>
        <v>11.4</v>
      </c>
      <c r="E62" s="28" t="s">
        <v>15</v>
      </c>
      <c r="F62" s="78"/>
    </row>
    <row r="63" ht="18" customHeight="1">
      <c r="B63" s="62" t="s">
        <v>120</v>
      </c>
      <c r="C63" s="62" t="s">
        <v>121</v>
      </c>
      <c r="D63" s="17">
        <f>UVset*1000/(D60+D61)</f>
        <v>14.06813627254509</v>
      </c>
      <c r="E63" s="28" t="s">
        <v>65</v>
      </c>
      <c r="F63" s="50"/>
    </row>
    <row r="64" s="6" customFormat="1" ht="18" customHeight="1">
      <c r="B64" s="8"/>
      <c r="C64" s="8"/>
      <c r="D64" s="79"/>
      <c r="E64" s="80"/>
      <c r="F64" s="81"/>
      <c r="G64" s="7"/>
      <c r="L64" s="11"/>
    </row>
    <row r="65" ht="18" customHeight="1">
      <c r="B65" s="43" t="s">
        <v>122</v>
      </c>
      <c r="C65" s="43" t="s">
        <v>123</v>
      </c>
      <c r="D65" s="43"/>
      <c r="E65" s="43"/>
      <c r="F65" s="77"/>
    </row>
    <row r="66" ht="18" customHeight="1">
      <c r="B66" s="29" t="s">
        <v>124</v>
      </c>
      <c r="C66" s="29" t="s">
        <v>125</v>
      </c>
      <c r="D66" s="26">
        <v>100</v>
      </c>
      <c r="E66" s="31" t="s">
        <v>101</v>
      </c>
      <c r="F66" s="31"/>
    </row>
    <row r="67" ht="18" customHeight="1">
      <c r="B67" s="48" t="s">
        <v>126</v>
      </c>
      <c r="C67" s="48" t="s">
        <v>127</v>
      </c>
      <c r="D67" s="17">
        <f>D66</f>
        <v>100</v>
      </c>
      <c r="E67" s="28" t="s">
        <v>45</v>
      </c>
      <c r="F67" s="78"/>
    </row>
    <row r="68" ht="18" customHeight="1">
      <c r="B68" s="62"/>
      <c r="C68" s="62" t="s">
        <v>128</v>
      </c>
      <c r="D68" s="82" t="str">
        <f>IF((PLIM&lt;(VINnom)*(Ilimit_final)), "YES","NO")</f>
        <v>YES</v>
      </c>
      <c r="E68" s="28"/>
      <c r="F68" s="50"/>
    </row>
    <row r="69" ht="18" customHeight="1">
      <c r="B69" s="8"/>
      <c r="D69" s="13"/>
      <c r="E69" s="14"/>
      <c r="F69" s="14"/>
    </row>
    <row r="70" ht="21.75" customHeight="1">
      <c r="B70" s="83" t="s">
        <v>129</v>
      </c>
      <c r="C70" s="83"/>
      <c r="D70" s="83"/>
      <c r="E70" s="83"/>
      <c r="F70" s="84"/>
    </row>
    <row r="71" ht="18" customHeight="1">
      <c r="B71" s="29" t="s">
        <v>130</v>
      </c>
      <c r="C71" s="29" t="s">
        <v>131</v>
      </c>
      <c r="D71" s="85">
        <v>2</v>
      </c>
      <c r="E71" s="28" t="s">
        <v>15</v>
      </c>
      <c r="F71" s="32"/>
      <c r="G71" s="59"/>
    </row>
    <row r="72" ht="18" customHeight="1">
      <c r="B72" s="48" t="s">
        <v>132</v>
      </c>
      <c r="C72" s="48" t="s">
        <v>133</v>
      </c>
      <c r="D72" s="17">
        <f>MIN((D71*1000)/(Ilimit*Gain_IMON), (MIN(4,UVset-1.5)*1000/(Gain_IMON*Ilimit_final*1.1)))</f>
        <v>12.279279943024141</v>
      </c>
      <c r="E72" s="28" t="s">
        <v>45</v>
      </c>
      <c r="F72" s="63">
        <v>0.01</v>
      </c>
      <c r="M72" s="6">
        <f>IF(D72&lt;10, D72*100, IF(AND(D72&gt;=10, D72&lt;100),D72*10,IF(AND(D72&gt;=100, D72&lt;1000), D72, IF(D72&gt;=1000, D72/10))))</f>
        <v>122.79279943024142</v>
      </c>
    </row>
    <row r="73" ht="18" customHeight="1">
      <c r="B73" s="53" t="s">
        <v>134</v>
      </c>
      <c r="C73" s="53"/>
      <c r="D73" s="64"/>
      <c r="E73" s="31"/>
      <c r="F73" s="32"/>
    </row>
    <row r="74" ht="18" customHeight="1">
      <c r="B74" s="56" t="s">
        <v>135</v>
      </c>
      <c r="C74" s="56" t="s">
        <v>136</v>
      </c>
      <c r="D74" s="41">
        <f>G74</f>
        <v>12.399999999999999</v>
      </c>
      <c r="E74" s="28" t="s">
        <v>45</v>
      </c>
      <c r="F74" s="57">
        <f>F72</f>
        <v>0.01</v>
      </c>
      <c r="G74" s="7">
        <f>M74*D72/M72</f>
        <v>12.399999999999999</v>
      </c>
      <c r="M74" s="58">
        <f>INDEX('Res EIA Tables'!E$5:E$196,2+MATCH(M72,'Res EIA Tables'!E$5:E$196))</f>
        <v>124</v>
      </c>
    </row>
    <row r="75" ht="18" customHeight="1">
      <c r="B75" s="62" t="s">
        <v>130</v>
      </c>
      <c r="C75" s="62" t="s">
        <v>137</v>
      </c>
      <c r="D75" s="86">
        <f>(Ilimit_final*Gain_IMON*RIMON_sel*0.001)</f>
        <v>2.0540332225913618</v>
      </c>
      <c r="E75" s="31" t="s">
        <v>15</v>
      </c>
      <c r="F75" s="65">
        <f>SQRT(M34^2+F97^2+F74^2)</f>
        <v>0.094868329805051388</v>
      </c>
    </row>
    <row r="76" ht="18" customHeight="1">
      <c r="B76" s="8"/>
      <c r="D76" s="13"/>
      <c r="E76" s="14"/>
      <c r="F76" s="14"/>
    </row>
    <row r="77" ht="20.25" customHeight="1">
      <c r="B77" s="83" t="s">
        <v>138</v>
      </c>
      <c r="C77" s="83"/>
      <c r="D77" s="83"/>
      <c r="E77" s="83"/>
      <c r="F77" s="87"/>
    </row>
    <row r="78" ht="18" customHeight="1">
      <c r="B78" s="88" t="s">
        <v>139</v>
      </c>
      <c r="C78" s="88" t="s">
        <v>9</v>
      </c>
      <c r="D78" s="89" t="s">
        <v>10</v>
      </c>
      <c r="E78" s="90" t="s">
        <v>11</v>
      </c>
      <c r="F78" s="90" t="s">
        <v>12</v>
      </c>
    </row>
    <row r="79" ht="18" customHeight="1">
      <c r="B79" s="48" t="s">
        <v>140</v>
      </c>
      <c r="C79" s="48" t="s">
        <v>141</v>
      </c>
      <c r="D79" s="17">
        <f>Imax*Rdson_25deg</f>
        <v>161.20000000000002</v>
      </c>
      <c r="E79" s="31" t="s">
        <v>142</v>
      </c>
      <c r="F79" s="32"/>
    </row>
    <row r="80" ht="18" customHeight="1">
      <c r="B80" s="48" t="s">
        <v>143</v>
      </c>
      <c r="C80" s="48" t="s">
        <v>144</v>
      </c>
      <c r="D80" s="17">
        <f>Imax^2*Rdson_25deg</f>
        <v>838.24000000000012</v>
      </c>
      <c r="E80" s="31" t="s">
        <v>145</v>
      </c>
      <c r="F80" s="32"/>
    </row>
    <row r="81" ht="18" customHeight="1">
      <c r="B81" s="8"/>
      <c r="D81" s="13"/>
      <c r="E81" s="14"/>
      <c r="F81" s="14"/>
    </row>
    <row r="82" ht="18" customHeight="1">
      <c r="B82" s="91" t="s">
        <v>146</v>
      </c>
      <c r="D82" s="13"/>
      <c r="E82" s="14"/>
      <c r="F82" s="14"/>
    </row>
    <row r="83" ht="18" customHeight="1">
      <c r="B83" s="92" t="s">
        <v>139</v>
      </c>
      <c r="C83" s="92" t="s">
        <v>9</v>
      </c>
      <c r="D83" s="93" t="s">
        <v>10</v>
      </c>
      <c r="E83" s="94" t="s">
        <v>11</v>
      </c>
      <c r="F83" s="94" t="s">
        <v>12</v>
      </c>
    </row>
    <row r="84" ht="18" customHeight="1">
      <c r="B84" s="60" t="s">
        <v>147</v>
      </c>
      <c r="C84" s="60" t="s">
        <v>148</v>
      </c>
      <c r="D84" s="95">
        <v>31</v>
      </c>
      <c r="E84" s="31" t="s">
        <v>149</v>
      </c>
      <c r="F84" s="32"/>
    </row>
    <row r="85" ht="18" customHeight="1">
      <c r="B85" s="60" t="s">
        <v>150</v>
      </c>
      <c r="C85" s="60" t="s">
        <v>151</v>
      </c>
      <c r="D85" s="95">
        <v>44</v>
      </c>
      <c r="E85" s="31" t="s">
        <v>149</v>
      </c>
      <c r="F85" s="32"/>
    </row>
    <row r="86" ht="18" customHeight="1">
      <c r="B86" s="60" t="s">
        <v>152</v>
      </c>
      <c r="C86" s="60" t="s">
        <v>153</v>
      </c>
      <c r="D86" s="95">
        <v>49</v>
      </c>
      <c r="E86" s="31" t="s">
        <v>149</v>
      </c>
      <c r="F86" s="32"/>
    </row>
    <row r="87" ht="17.25" customHeight="1">
      <c r="B87" s="8"/>
      <c r="D87" s="13"/>
      <c r="E87" s="14"/>
      <c r="F87" s="14"/>
    </row>
    <row r="88" ht="18" customHeight="1">
      <c r="B88" s="91" t="s">
        <v>154</v>
      </c>
      <c r="D88" s="13"/>
      <c r="E88" s="14"/>
      <c r="F88" s="14"/>
    </row>
    <row r="89" ht="18" customHeight="1">
      <c r="B89" s="96" t="s">
        <v>155</v>
      </c>
      <c r="C89" s="97" t="s">
        <v>156</v>
      </c>
      <c r="D89" s="98">
        <v>1.2</v>
      </c>
      <c r="E89" s="99" t="s">
        <v>15</v>
      </c>
      <c r="F89" s="100">
        <v>0.02</v>
      </c>
    </row>
    <row r="90" ht="18" customHeight="1">
      <c r="B90" s="101" t="s">
        <v>157</v>
      </c>
      <c r="C90" s="60" t="s">
        <v>158</v>
      </c>
      <c r="D90" s="15">
        <v>0.059999999999999998</v>
      </c>
      <c r="E90" s="31" t="s">
        <v>15</v>
      </c>
      <c r="F90" s="102"/>
    </row>
    <row r="91" ht="18" customHeight="1">
      <c r="B91" s="101" t="s">
        <v>159</v>
      </c>
      <c r="C91" s="103" t="s">
        <v>160</v>
      </c>
      <c r="D91" s="15">
        <v>1.2</v>
      </c>
      <c r="E91" s="31" t="s">
        <v>15</v>
      </c>
      <c r="F91" s="102">
        <v>0.02</v>
      </c>
    </row>
    <row r="92" ht="18" customHeight="1">
      <c r="B92" s="101" t="s">
        <v>161</v>
      </c>
      <c r="C92" s="103" t="s">
        <v>162</v>
      </c>
      <c r="D92" s="15">
        <v>2</v>
      </c>
      <c r="E92" s="31" t="s">
        <v>65</v>
      </c>
      <c r="F92" s="102">
        <v>0.050000000000000003</v>
      </c>
    </row>
    <row r="93" ht="18" customHeight="1">
      <c r="B93" s="101" t="s">
        <v>163</v>
      </c>
      <c r="C93" s="103" t="s">
        <v>164</v>
      </c>
      <c r="D93" s="15">
        <v>24</v>
      </c>
      <c r="E93" s="31"/>
      <c r="F93" s="102">
        <v>0.050000000000000003</v>
      </c>
      <c r="H93" s="6"/>
      <c r="I93" s="6"/>
      <c r="J93" s="6"/>
    </row>
    <row r="94" ht="18" customHeight="1">
      <c r="B94" s="101" t="s">
        <v>165</v>
      </c>
      <c r="C94" s="60" t="s">
        <v>166</v>
      </c>
      <c r="D94" s="15">
        <v>0.23999999999999999</v>
      </c>
      <c r="E94" s="31" t="s">
        <v>80</v>
      </c>
      <c r="F94" s="102"/>
    </row>
    <row r="95" ht="18" customHeight="1">
      <c r="B95" s="104" t="s">
        <v>167</v>
      </c>
      <c r="C95" s="105" t="s">
        <v>168</v>
      </c>
      <c r="D95" s="106">
        <v>1.2</v>
      </c>
      <c r="E95" s="107" t="s">
        <v>15</v>
      </c>
      <c r="F95" s="108">
        <v>0.02</v>
      </c>
    </row>
    <row r="96" ht="18" customHeight="1">
      <c r="B96" s="104" t="s">
        <v>169</v>
      </c>
      <c r="C96" s="105" t="s">
        <v>170</v>
      </c>
      <c r="D96" s="106">
        <v>1.1399999999999999</v>
      </c>
      <c r="E96" s="107" t="s">
        <v>15</v>
      </c>
      <c r="F96" s="108"/>
    </row>
    <row r="97" ht="18" customHeight="1">
      <c r="B97" s="109" t="s">
        <v>171</v>
      </c>
      <c r="C97" s="110" t="s">
        <v>172</v>
      </c>
      <c r="D97" s="111">
        <v>27.699999999999999</v>
      </c>
      <c r="E97" s="112" t="s">
        <v>173</v>
      </c>
      <c r="F97" s="113">
        <v>0.080000000000000002</v>
      </c>
      <c r="H97" s="6"/>
      <c r="I97" s="6"/>
      <c r="J97" s="6"/>
    </row>
    <row r="99" ht="18" customHeight="1">
      <c r="B99" s="91" t="s">
        <v>174</v>
      </c>
      <c r="C99" s="114" t="s">
        <v>111</v>
      </c>
      <c r="D99" s="13"/>
      <c r="E99" s="14"/>
      <c r="F99" s="14"/>
    </row>
    <row r="100" ht="18" customHeight="1">
      <c r="B100" s="96" t="s">
        <v>175</v>
      </c>
      <c r="C100" s="97" t="s">
        <v>176</v>
      </c>
      <c r="D100" s="98">
        <f>MIN(1.2*OVset,85)</f>
        <v>44.399999999999999</v>
      </c>
      <c r="E100" s="99" t="s">
        <v>15</v>
      </c>
      <c r="F100" s="100"/>
    </row>
    <row r="101" ht="18" customHeight="1">
      <c r="B101" s="96" t="s">
        <v>177</v>
      </c>
      <c r="C101" s="60" t="s">
        <v>178</v>
      </c>
      <c r="D101" s="15">
        <v>14</v>
      </c>
      <c r="E101" s="31" t="s">
        <v>15</v>
      </c>
      <c r="F101" s="102"/>
    </row>
    <row r="102" ht="18" customHeight="1">
      <c r="B102" s="96" t="s">
        <v>179</v>
      </c>
      <c r="C102" s="103" t="s">
        <v>180</v>
      </c>
      <c r="D102" s="15">
        <f>1.5*Ilimit_final</f>
        <v>8.9700996677740861</v>
      </c>
      <c r="E102" s="31" t="s">
        <v>15</v>
      </c>
      <c r="F102" s="102"/>
    </row>
    <row r="103" ht="18" customHeight="1">
      <c r="B103" s="115"/>
      <c r="C103" s="116" t="s">
        <v>181</v>
      </c>
      <c r="D103" s="117" t="s">
        <v>182</v>
      </c>
      <c r="E103" s="118"/>
      <c r="F103" s="119"/>
    </row>
    <row r="105" ht="18" customHeight="1">
      <c r="B105" s="91" t="s">
        <v>183</v>
      </c>
      <c r="C105" s="114" t="s">
        <v>111</v>
      </c>
      <c r="D105" s="13"/>
      <c r="E105" s="14"/>
      <c r="F105" s="14"/>
    </row>
    <row r="106" ht="18" customHeight="1">
      <c r="B106" s="96" t="s">
        <v>175</v>
      </c>
      <c r="C106" s="97" t="s">
        <v>176</v>
      </c>
      <c r="D106" s="98">
        <v>15</v>
      </c>
      <c r="E106" s="99" t="s">
        <v>15</v>
      </c>
      <c r="F106" s="100"/>
    </row>
    <row r="107" ht="18" customHeight="1">
      <c r="B107" s="96" t="s">
        <v>184</v>
      </c>
      <c r="C107" s="60" t="s">
        <v>185</v>
      </c>
      <c r="D107" s="15">
        <v>3</v>
      </c>
      <c r="E107" s="31" t="s">
        <v>15</v>
      </c>
      <c r="F107" s="102"/>
    </row>
    <row r="108" ht="18" customHeight="1">
      <c r="B108" s="96" t="s">
        <v>177</v>
      </c>
      <c r="C108" s="103" t="s">
        <v>186</v>
      </c>
      <c r="D108" s="15">
        <v>20</v>
      </c>
      <c r="E108" s="31" t="s">
        <v>15</v>
      </c>
      <c r="F108" s="102"/>
    </row>
    <row r="109" ht="21">
      <c r="B109" s="96" t="s">
        <v>187</v>
      </c>
      <c r="C109" s="103" t="s">
        <v>188</v>
      </c>
      <c r="D109" s="15">
        <v>50</v>
      </c>
      <c r="E109" s="31" t="s">
        <v>189</v>
      </c>
      <c r="F109" s="102"/>
    </row>
    <row r="110" ht="18" customHeight="1">
      <c r="B110" s="115"/>
      <c r="C110" s="116" t="s">
        <v>190</v>
      </c>
      <c r="D110" s="120" t="s">
        <v>191</v>
      </c>
      <c r="E110" s="118"/>
      <c r="F110" s="119"/>
    </row>
    <row r="112" ht="18" customHeight="1">
      <c r="B112" s="91" t="s">
        <v>192</v>
      </c>
      <c r="C112" s="114" t="s">
        <v>111</v>
      </c>
      <c r="D112" s="13"/>
      <c r="E112" s="14"/>
      <c r="F112" s="14"/>
    </row>
    <row r="113" ht="21.75">
      <c r="B113" s="121" t="s">
        <v>193</v>
      </c>
      <c r="C113" s="122" t="s">
        <v>194</v>
      </c>
      <c r="D113" s="123">
        <v>100</v>
      </c>
      <c r="E113" s="99" t="s">
        <v>101</v>
      </c>
      <c r="F113" s="100"/>
    </row>
    <row r="114" ht="18" customHeight="1">
      <c r="B114" s="96" t="s">
        <v>24</v>
      </c>
      <c r="C114" s="60" t="s">
        <v>195</v>
      </c>
      <c r="D114" s="15">
        <f>1000000*(2*Pload*0.005)/(VINnom*VINnom-PGSET*PGSET)</f>
        <v>2314.8148148148148</v>
      </c>
      <c r="E114" s="31" t="s">
        <v>196</v>
      </c>
      <c r="F114" s="102"/>
    </row>
    <row r="115" ht="18" customHeight="1">
      <c r="B115" s="96" t="s">
        <v>197</v>
      </c>
      <c r="C115" s="103" t="s">
        <v>198</v>
      </c>
      <c r="D115" s="15">
        <v>1</v>
      </c>
      <c r="E115" s="31" t="s">
        <v>196</v>
      </c>
      <c r="F115" s="102"/>
    </row>
    <row r="116" ht="18" customHeight="1">
      <c r="B116" s="115"/>
      <c r="C116" s="116" t="s">
        <v>199</v>
      </c>
      <c r="D116" s="120" t="s">
        <v>200</v>
      </c>
      <c r="E116" s="118"/>
      <c r="F116" s="119"/>
    </row>
    <row r="117" ht="18" customHeight="1">
      <c r="B117" s="115"/>
      <c r="C117" s="116" t="s">
        <v>201</v>
      </c>
      <c r="D117" s="120" t="s">
        <v>202</v>
      </c>
      <c r="E117" s="118"/>
      <c r="F117" s="119"/>
    </row>
  </sheetData>
  <sheetProtection password="DD1C" autoFilter="1" deleteColumns="1" deleteRows="1" formatCells="1" formatColumns="1" formatRows="1" insertColumns="1" insertHyperlinks="1" insertRows="1" objects="1" pivotTables="1" scenarios="1" selectLockedCells="0" selectUnlockedCells="0" sheet="1" sort="1"/>
  <protectedRanges>
    <protectedRange name="Range1" sqref="F10 F18 F22:F24 D18 D33 F33 D6:D15 D44 F44 D74 F74 D71 D40 D22:D24"/>
  </protectedRanges>
  <mergeCells count="1">
    <mergeCell ref="E2:F2"/>
  </mergeCells>
  <dataValidations count="6" disablePrompts="0" xWindow="920" yWindow="270">
    <dataValidation sqref="D72" type="none" allowBlank="1" error="Please enter a value less than RIMON_max;" errorStyle="stop" errorTitle="Error (Re-Enter)" imeMode="noControl" operator="between" prompt="The resistance should be less than RIMON_max" promptTitle="Restriction" showDropDown="0" showErrorMessage="0" showInputMessage="0"/>
    <dataValidation sqref="D75" type="none" allowBlank="0" errorStyle="warning" imeMode="noControl" operator="between" showDropDown="0" showErrorMessage="0" showInputMessage="0"/>
    <dataValidation sqref="D28 D63:D64 D68" type="none" allowBlank="1" errorStyle="stop" imeMode="noControl" operator="between" prompt="Increase R3_sel value if leakage current is not in the acceptable range" promptTitle="Tool Help" showDropDown="0" showErrorMessage="1" showInputMessage="1"/>
    <dataValidation sqref="D55:D56 D47" type="none" allowBlank="1" errorStyle="stop" imeMode="noControl" operator="between" prompt="Increase either RLstart value or startup time (Tstart_reg) for glitch free startup" promptTitle="Tool Help" showDropDown="0" showErrorMessage="0" showInputMessage="1"/>
    <dataValidation sqref="D24" type="none" allowBlank="1" error="Enter a value in the range from 1k to 249k" errorStyle="stop" errorTitle="Error" imeMode="noControl" operator="between" showDropDown="0" showErrorMessage="1" showInputMessage="1"/>
    <dataValidation sqref="D11" type="list" allowBlank="1" error="Select a value in the range from 25degC to 125degC" errorStyle="stop" errorTitle="Error" imeMode="noControl" operator="between" showDropDown="0" showErrorMessage="1" showInputMessage="1">
      <formula1>'Thermal Shutdown Limit Plot'!$B$2:$F$2</formula1>
    </dataValidation>
  </dataValidations>
  <hyperlinks>
    <hyperlink r:id="rId1" ref="D103"/>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extLst>
    <ext xmlns:x14="http://schemas.microsoft.com/office/spreadsheetml/2009/9/main" uri="{78C0D931-6437-407d-A8EE-F0AAD7539E65}">
      <x14:conditionalFormattings>
        <x14:conditionalFormatting xmlns:xm="http://schemas.microsoft.com/office/excel/2006/main">
          <x14:cfRule type="cellIs" priority="28" operator="equal" id="{00370033-007E-44D9-86A0-0009003A0059}">
            <xm:f>"YES"</xm:f>
            <x14:dxf>
              <fill>
                <patternFill patternType="solid">
                  <fgColor rgb="FFFFC000"/>
                  <bgColor rgb="FFFFC000"/>
                </patternFill>
              </fill>
            </x14:dxf>
          </x14:cfRule>
          <xm:sqref>D56</xm:sqref>
        </x14:conditionalFormatting>
        <x14:conditionalFormatting xmlns:xm="http://schemas.microsoft.com/office/excel/2006/main">
          <x14:cfRule type="cellIs" priority="29" operator="equal" id="{003100CD-003D-4F38-845A-0076005D001E}">
            <xm:f>"NO"</xm:f>
            <x14:dxf>
              <fill>
                <patternFill patternType="solid">
                  <fgColor rgb="FF92D050"/>
                  <bgColor rgb="FF92D050"/>
                </patternFill>
              </fill>
            </x14:dxf>
          </x14:cfRule>
          <xm:sqref>D56</xm:sqref>
        </x14:conditionalFormatting>
        <x14:conditionalFormatting xmlns:xm="http://schemas.microsoft.com/office/excel/2006/main">
          <x14:cfRule type="cellIs" priority="26" operator="lessThan" id="{009E005C-001E-4661-AA4A-00D80056001D}">
            <xm:f>2</xm:f>
            <x14:dxf>
              <fill>
                <patternFill patternType="solid">
                  <fgColor indexed="2"/>
                  <bgColor indexed="2"/>
                </patternFill>
              </fill>
            </x14:dxf>
          </x14:cfRule>
          <xm:sqref>D28</xm:sqref>
        </x14:conditionalFormatting>
        <x14:conditionalFormatting xmlns:xm="http://schemas.microsoft.com/office/excel/2006/main">
          <x14:cfRule type="cellIs" priority="27" operator="greaterThan" id="{0013008B-006F-4BBA-A712-0033008B00B4}">
            <xm:f>2</xm:f>
            <x14:dxf>
              <fill>
                <patternFill patternType="solid">
                  <fgColor rgb="FF92D050"/>
                  <bgColor rgb="FF92D050"/>
                </patternFill>
              </fill>
            </x14:dxf>
          </x14:cfRule>
          <xm:sqref>D28</xm:sqref>
        </x14:conditionalFormatting>
        <x14:conditionalFormatting xmlns:xm="http://schemas.microsoft.com/office/excel/2006/main">
          <x14:cfRule type="cellIs" priority="22" operator="lessThan" id="{003200BA-002C-4913-86E8-00F8009500A9}">
            <xm:f>4</xm:f>
            <x14:dxf>
              <fill>
                <patternFill patternType="solid">
                  <fgColor rgb="FF92D050"/>
                  <bgColor rgb="FF92D050"/>
                </patternFill>
              </fill>
            </x14:dxf>
          </x14:cfRule>
          <xm:sqref>D75</xm:sqref>
        </x14:conditionalFormatting>
        <x14:conditionalFormatting xmlns:xm="http://schemas.microsoft.com/office/excel/2006/main">
          <x14:cfRule type="cellIs" priority="23" operator="greaterThan" id="{008B00F2-00E4-436D-829B-001600300089}">
            <xm:f>4</xm:f>
            <x14:dxf>
              <fill>
                <patternFill patternType="solid">
                  <fgColor indexed="2"/>
                  <bgColor indexed="2"/>
                </patternFill>
              </fill>
            </x14:dxf>
          </x14:cfRule>
          <xm:sqref>D75</xm:sqref>
        </x14:conditionalFormatting>
        <x14:conditionalFormatting xmlns:xm="http://schemas.microsoft.com/office/excel/2006/main">
          <x14:cfRule type="cellIs" priority="14" operator="lessThan" id="{009D003A-0059-4DE9-B379-00FD00CB003A}">
            <xm:f>$D$34</xm:f>
            <x14:dxf>
              <fill>
                <patternFill patternType="solid">
                  <fgColor rgb="FF92D050"/>
                  <bgColor rgb="FF92D050"/>
                </patternFill>
              </fill>
            </x14:dxf>
          </x14:cfRule>
          <xm:sqref>D47</xm:sqref>
        </x14:conditionalFormatting>
        <x14:conditionalFormatting xmlns:xm="http://schemas.microsoft.com/office/excel/2006/main">
          <x14:cfRule type="cellIs" priority="15" operator="greaterThan" id="{008600B1-001B-4ADC-9843-008F006D00E4}">
            <xm:f>$D$34</xm:f>
            <x14:dxf>
              <fill>
                <patternFill patternType="solid">
                  <fgColor indexed="2"/>
                  <bgColor indexed="2"/>
                </patternFill>
              </fill>
            </x14:dxf>
          </x14:cfRule>
          <xm:sqref>D47</xm:sqref>
        </x14:conditionalFormatting>
        <x14:conditionalFormatting xmlns:xm="http://schemas.microsoft.com/office/excel/2006/main">
          <x14:cfRule type="cellIs" priority="13" operator="greaterThan" id="{005F00F5-00C2-49D6-A722-000800AA00B0}">
            <xm:f>6</xm:f>
            <x14:dxf>
              <fill>
                <patternFill patternType="solid">
                  <fgColor indexed="2"/>
                  <bgColor indexed="2"/>
                </patternFill>
              </fill>
            </x14:dxf>
          </x14:cfRule>
          <xm:sqref>D15</xm:sqref>
        </x14:conditionalFormatting>
        <x14:conditionalFormatting xmlns:xm="http://schemas.microsoft.com/office/excel/2006/main">
          <x14:cfRule type="cellIs" priority="11" operator="lessThan" id="{002A00EB-0013-4BF0-B6EF-0021000C00F2}">
            <xm:f>300</xm:f>
            <x14:dxf>
              <fill>
                <patternFill patternType="solid">
                  <fgColor indexed="2"/>
                  <bgColor indexed="2"/>
                </patternFill>
              </fill>
            </x14:dxf>
          </x14:cfRule>
          <xm:sqref>D20</xm:sqref>
        </x14:conditionalFormatting>
        <x14:conditionalFormatting xmlns:xm="http://schemas.microsoft.com/office/excel/2006/main">
          <x14:cfRule type="cellIs" priority="12" operator="greaterThan" id="{00260064-0001-4A42-A526-00C600E800DE}">
            <xm:f>300</xm:f>
            <x14:dxf>
              <fill>
                <patternFill patternType="solid">
                  <fgColor rgb="FF92D050"/>
                  <bgColor rgb="FF92D050"/>
                </patternFill>
              </fill>
            </x14:dxf>
          </x14:cfRule>
          <xm:sqref>D20</xm:sqref>
        </x14:conditionalFormatting>
        <x14:conditionalFormatting xmlns:xm="http://schemas.microsoft.com/office/excel/2006/main">
          <x14:cfRule type="containsText" priority="5" operator="containsText" text="NO" id="{00BF00D1-0076-4B0F-B943-00C500F4006E}">
            <xm:f>NOT(ISERROR(SEARCH("NO",D68)))</xm:f>
            <x14:dxf>
              <fill>
                <patternFill patternType="solid">
                  <fgColor indexed="2"/>
                  <bgColor indexed="2"/>
                </patternFill>
              </fill>
            </x14:dxf>
          </x14:cfRule>
          <xm:sqref>D68</xm:sqref>
        </x14:conditionalFormatting>
        <x14:conditionalFormatting xmlns:xm="http://schemas.microsoft.com/office/excel/2006/main">
          <x14:cfRule type="containsText" priority="6" operator="containsText" text="YES" id="{008E0056-0078-469C-9B6A-008200D90020}">
            <xm:f>NOT(ISERROR(SEARCH("YES",D68)))</xm:f>
            <x14:dxf>
              <fill>
                <patternFill patternType="solid">
                  <fgColor rgb="FF92D050"/>
                  <bgColor rgb="FF92D050"/>
                </patternFill>
              </fill>
            </x14:dxf>
          </x14:cfRule>
          <xm:sqref>D68</xm:sqref>
        </x14:conditionalFormatting>
        <x14:conditionalFormatting xmlns:xm="http://schemas.microsoft.com/office/excel/2006/main">
          <x14:cfRule type="cellIs" priority="3" operator="lessThan" id="{0069009E-00D9-498A-8746-00EE00770084}">
            <xm:f>2</xm:f>
            <x14:dxf>
              <fill>
                <patternFill patternType="solid">
                  <fgColor indexed="2"/>
                  <bgColor indexed="2"/>
                </patternFill>
              </fill>
            </x14:dxf>
          </x14:cfRule>
          <xm:sqref>D63</xm:sqref>
        </x14:conditionalFormatting>
        <x14:conditionalFormatting xmlns:xm="http://schemas.microsoft.com/office/excel/2006/main">
          <x14:cfRule type="cellIs" priority="4" operator="greaterThan" id="{00D4002A-0095-4C66-B779-0030006500C2}">
            <xm:f>2</xm:f>
            <x14:dxf>
              <fill>
                <patternFill patternType="solid">
                  <fgColor rgb="FF92D050"/>
                  <bgColor rgb="FF92D050"/>
                </patternFill>
              </fill>
            </x14:dxf>
          </x14:cfRule>
          <xm:sqref>D63</xm:sqref>
        </x14:conditionalFormatting>
        <x14:conditionalFormatting xmlns:xm="http://schemas.microsoft.com/office/excel/2006/main">
          <x14:cfRule type="cellIs" priority="1" operator="equal" id="{00860057-00F0-4866-9D13-001F00EF0089}">
            <xm:f>"YES"</xm:f>
            <x14:dxf>
              <fill>
                <patternFill patternType="solid">
                  <fgColor rgb="FFFFC000"/>
                  <bgColor rgb="FFFFC000"/>
                </patternFill>
              </fill>
            </x14:dxf>
          </x14:cfRule>
          <xm:sqref>D55</xm:sqref>
        </x14:conditionalFormatting>
        <x14:conditionalFormatting xmlns:xm="http://schemas.microsoft.com/office/excel/2006/main">
          <x14:cfRule type="cellIs" priority="2" operator="equal" id="{00D500F4-00D3-4751-94BC-007D00D900CA}">
            <xm:f>"NO"</xm:f>
            <x14:dxf>
              <fill>
                <patternFill patternType="solid">
                  <fgColor rgb="FF92D050"/>
                  <bgColor rgb="FF92D050"/>
                </patternFill>
              </fill>
            </x14:dxf>
          </x14:cfRule>
          <xm:sqref>D55</xm:sqref>
        </x14:conditionalFormatting>
      </x14:conditionalFormattings>
    </ext>
    <ext xmlns:x14="http://schemas.microsoft.com/office/spreadsheetml/2009/9/main" uri="{CCE6A557-97BC-4b89-ADB6-D9C93CAAB3DF}">
      <x14:dataValidations xmlns:xm="http://schemas.microsoft.com/office/excel/2006/main" count="23" disablePrompts="0" xWindow="920" yWindow="270">
        <x14:dataValidation xr:uid="{007E003D-00E8-49BC-8BCC-004900E3004A}" type="decimal" allowBlank="0" error="Enter a value in the range from 4.3V to VIN (min)" errorStyle="stop" errorTitle="UVSet Error" imeMode="noControl" operator="between" showDropDown="0" showErrorMessage="1" showInputMessage="0">
          <x14:formula1>
            <xm:f>4.5</xm:f>
          </x14:formula1>
          <x14:formula2>
            <xm:f>D5</xm:f>
          </x14:formula2>
          <xm:sqref>D8</xm:sqref>
        </x14:dataValidation>
        <x14:dataValidation xr:uid="{008C0087-00AD-4F03-B00E-0082006E004D}" type="decimal" allowBlank="0" error="Enter a value greater than VIN(max) and less than 60V" errorStyle="stop" errorTitle="OVSet Error" imeMode="noControl" operator="between" showDropDown="0" showErrorMessage="1" showInputMessage="0">
          <x14:formula1>
            <xm:f>D6</xm:f>
          </x14:formula1>
          <x14:formula2>
            <xm:f>60</xm:f>
          </x14:formula2>
          <xm:sqref>D9</xm:sqref>
        </x14:dataValidation>
        <x14:dataValidation xr:uid="{00610089-007B-4897-8445-002400A7009C}" type="custom" allowBlank="1" error="Enter a value greater than (Vinmax / Maximum Load Current)" errorStyle="stop" errorTitle="Error" imeMode="noControl" operator="between" prompt="RLstart = Vinmax / Load Current during Start-up.&#10;If there is no load during startup, set RLstart to 1000" promptTitle="Tool Help" showDropDown="0" showErrorMessage="1" showInputMessage="1">
          <x14:formula1>
            <xm:f>D12&gt;=(D6/D13)</xm:f>
          </x14:formula1>
          <xm:sqref>D12</xm:sqref>
        </x14:dataValidation>
        <x14:dataValidation xr:uid="{0023007B-00BC-45D9-B4C7-00C700060054}" type="decimal" allowBlank="1" error="Enter a value in the range from 1k to 511k" errorStyle="stop" imeMode="noControl" operator="between" showDropDown="0" showErrorMessage="1" showInputMessage="1">
          <x14:formula1>
            <xm:f>1</xm:f>
          </x14:formula1>
          <x14:formula2>
            <xm:f>511</xm:f>
          </x14:formula2>
          <xm:sqref>D74</xm:sqref>
        </x14:dataValidation>
        <x14:dataValidation xr:uid="{00FA00DA-0035-44AD-8046-00F700C5009F}" type="decimal" allowBlank="1" error="Enter a value in the range from VIN(min) to VIN(max)." errorStyle="stop" errorTitle="VIN(nom) out of range " imeMode="noControl" operator="between" showDropDown="0" showErrorMessage="1" showInputMessage="0">
          <x14:formula1>
            <xm:f>D5</xm:f>
          </x14:formula1>
          <x14:formula2>
            <xm:f>D6</xm:f>
          </x14:formula2>
          <xm:sqref>D7</xm:sqref>
        </x14:dataValidation>
        <x14:dataValidation xr:uid="{00A60032-0034-4B09-B462-00AD005C00A3}" type="decimal" allowBlank="1" error="Enter a value greater than Imax+ IINRUSH_permissible and less than 6A." errorStyle="stop" errorTitle="ILIM Error" imeMode="noControl" operator="between" showDropDown="0" showErrorMessage="1" showInputMessage="1">
          <x14:formula1>
            <xm:f>D13+D14</xm:f>
          </x14:formula1>
          <x14:formula2>
            <xm:f>6</xm:f>
          </x14:formula2>
          <xm:sqref>D15</xm:sqref>
        </x14:dataValidation>
        <x14:dataValidation xr:uid="{002500D4-0031-40D1-A64A-00A8005600DB}" type="custom" allowBlank="0" error="CdVdT capacitor is not required if start-up time is less than or equal to default" errorStyle="stop" errorTitle="Error" imeMode="noControl" operator="between" showDropDown="0" showErrorMessage="1" showInputMessage="0">
          <x14:formula1>
            <xm:f>D40&gt;D38</xm:f>
          </x14:formula1>
          <xm:sqref>D40</xm:sqref>
        </x14:dataValidation>
        <x14:dataValidation xr:uid="{00F70033-0047-4C58-BDD0-00CB009C0037}" type="decimal" allowBlank="1" error="Enter a value in the range from 0.1V to 4V" errorStyle="stop" errorTitle="Error" imeMode="noControl" operator="between" showDropDown="0" showErrorMessage="1" showInputMessage="1">
          <x14:formula1>
            <xm:f>0.01</xm:f>
          </x14:formula1>
          <x14:formula2>
            <xm:f>4</xm:f>
          </x14:formula2>
          <xm:sqref>D71</xm:sqref>
        </x14:dataValidation>
        <x14:dataValidation xr:uid="{000300B3-002C-4460-84C7-0052002B000C}" type="decimal" allowBlank="1" error="Enter a value between 0.1 to 33000uF" errorStyle="stop" errorTitle="Cout Error" imeMode="noControl" operator="between" showDropDown="0" showErrorMessage="1" showInputMessage="1">
          <x14:formula1>
            <xm:f>0.1</xm:f>
          </x14:formula1>
          <x14:formula2>
            <xm:f>33000</xm:f>
          </x14:formula2>
          <xm:sqref>D10</xm:sqref>
        </x14:dataValidation>
        <x14:dataValidation xr:uid="{00700038-00DB-4C94-9F6D-00A900600089}" type="decimal" allowBlank="1" error="Enter a value in the range from 5.36k to 120k" errorStyle="stop" errorTitle="Error" imeMode="noControl" operator="between" showDropDown="0" showErrorMessage="1" showInputMessage="1">
          <x14:formula1>
            <xm:f>3</xm:f>
          </x14:formula1>
          <x14:formula2>
            <xm:f>30</xm:f>
          </x14:formula2>
          <xm:sqref>D33</xm:sqref>
        </x14:dataValidation>
        <x14:dataValidation xr:uid="{004A0027-00B7-4712-BDDA-00E300E10031}" type="decimal" allowBlank="1" error="Enter a value greater than or equal to  0.022uF" errorStyle="stop" imeMode="noControl" operator="greaterThanOrEqual" showDropDown="0" showErrorMessage="1" showInputMessage="1">
          <x14:formula1>
            <xm:f>0.022</xm:f>
          </x14:formula1>
          <xm:sqref>D44</xm:sqref>
        </x14:dataValidation>
        <x14:dataValidation xr:uid="{004600A2-008E-4D3A-AF4E-005A00F30053}" type="decimal" allowBlank="1" error="Enter a value in the range from 1k to 249k" errorStyle="stop" errorTitle="Error" imeMode="noControl" operator="between" showDropDown="0" showErrorMessage="1" showInputMessage="1">
          <x14:formula1>
            <xm:f>1</xm:f>
          </x14:formula1>
          <x14:formula2>
            <xm:f>249</xm:f>
          </x14:formula2>
          <xm:sqref>D18 D22:D23</xm:sqref>
        </x14:dataValidation>
        <x14:dataValidation xr:uid="{00AA001C-00B2-4321-8249-00FF00F500B9}" type="decimal" allowBlank="1" error="Enter a value in the range from 5% to 30%" errorStyle="stop" errorTitle="Error" imeMode="noControl" operator="between" showDropDown="0" showErrorMessage="1" showInputMessage="1">
          <x14:formula1>
            <xm:f>0.05</xm:f>
          </x14:formula1>
          <x14:formula2>
            <xm:f>0.3</xm:f>
          </x14:formula2>
          <xm:sqref>F10</xm:sqref>
        </x14:dataValidation>
        <x14:dataValidation xr:uid="{00D10016-0075-4CA0-8B99-003D00C50012}" type="decimal" allowBlank="1" error="Enter a value in the range from 0.1% to 10%" errorStyle="stop" errorTitle="Error" imeMode="noControl" operator="between" showDropDown="0" showErrorMessage="1" showInputMessage="1">
          <x14:formula1>
            <xm:f>0.001</xm:f>
          </x14:formula1>
          <x14:formula2>
            <xm:f>0.1</xm:f>
          </x14:formula2>
          <xm:sqref>F74 F18 F22:F24 F33</xm:sqref>
        </x14:dataValidation>
        <x14:dataValidation xr:uid="{000400B3-00FA-47B1-BE05-00D300F90056}" type="decimal" allowBlank="1" error="Enter a value in the range from 2% to 20%" errorStyle="stop" errorTitle="Error" imeMode="noControl" operator="between" showDropDown="0" showErrorMessage="1" showInputMessage="1">
          <x14:formula1>
            <xm:f>0.02</xm:f>
          </x14:formula1>
          <x14:formula2>
            <xm:f>0.2</xm:f>
          </x14:formula2>
          <xm:sqref>F44</xm:sqref>
        </x14:dataValidation>
        <x14:dataValidation xr:uid="{0054006D-0052-489B-9BCE-00B0000D00ED}" type="decimal" allowBlank="1" error="Enter a value in the range from 0.6A to 5.7A" errorStyle="stop" errorTitle="Imax Error" imeMode="noControl" operator="between" showDropDown="0" showErrorMessage="1" showInputMessage="1">
          <x14:formula1>
            <xm:f>0.6</xm:f>
          </x14:formula1>
          <x14:formula2>
            <xm:f>5.7</xm:f>
          </x14:formula2>
          <xm:sqref>D13</xm:sqref>
        </x14:dataValidation>
        <x14:dataValidation xr:uid="{00300013-0089-4B1E-B9DA-006D006C0047}" type="decimal" allowBlank="1" error="Enter a value Less than Imax and greater than 0.01A" errorStyle="stop" errorTitle="INrush Error" imeMode="noControl" operator="between" showDropDown="0" showErrorMessage="1" showInputMessage="1">
          <x14:formula1>
            <xm:f>0.01</xm:f>
          </x14:formula1>
          <x14:formula2>
            <xm:f>D13</xm:f>
          </x14:formula2>
          <xm:sqref>D14</xm:sqref>
        </x14:dataValidation>
        <x14:dataValidation xr:uid="{001C00BF-00ED-44C6-94F1-00D70050004E}" type="decimal" allowBlank="1" error="Enter a value greater than 100k" errorStyle="stop" imeMode="noControl" operator="greaterThanOrEqual" showDropDown="0" showErrorMessage="1" showInputMessage="1">
          <x14:formula1>
            <xm:f>100</xm:f>
          </x14:formula1>
          <xm:sqref>D60</xm:sqref>
        </x14:dataValidation>
        <x14:dataValidation xr:uid="{007A009C-0038-498D-99D6-0085009200E7}" type="decimal" allowBlank="1" error="Enter a value less than VINnom x ILimit" errorStyle="stop" imeMode="noControl" operator="lessThanOrEqual" showDropDown="0" showErrorMessage="1" showInputMessage="1">
          <x14:formula1>
            <xm:f>D7*D13</xm:f>
          </x14:formula1>
          <xm:sqref>D113</xm:sqref>
        </x14:dataValidation>
        <x14:dataValidation xr:uid="{00E60036-000F-459F-8917-00A2004C0046}" type="decimal" allowBlank="1" error="Enter a value between 40k to 150k" errorStyle="stop" imeMode="noControl" operator="between" showDropDown="0" showErrorMessage="1" showInputMessage="1">
          <x14:formula1>
            <xm:f>40</xm:f>
          </x14:formula1>
          <x14:formula2>
            <xm:f>150</xm:f>
          </x14:formula2>
          <xm:sqref>D66</xm:sqref>
        </x14:dataValidation>
        <x14:dataValidation xr:uid="{007B00CB-0063-4B2D-B525-004F00A3007C}" type="decimal" allowBlank="1" error="Enter Value between 4.5 to 60V" errorStyle="stop" errorTitle="VIN(min) " imeMode="noControl" operator="between" showDropDown="0" showErrorMessage="1" showInputMessage="1">
          <x14:formula1>
            <xm:f>4.5</xm:f>
          </x14:formula1>
          <x14:formula2>
            <xm:f>60</xm:f>
          </x14:formula2>
          <xm:sqref>D5</xm:sqref>
        </x14:dataValidation>
        <x14:dataValidation xr:uid="{00760096-0029-478F-A2DB-006A00A200B3}" type="decimal" allowBlank="1" error="Enter a value greater than VIN(min)." errorStyle="stop" errorTitle="VIN(max)&gt;OVset" imeMode="noControl" operator="greaterThan" showDropDown="0" showErrorMessage="1" showInputMessage="0">
          <x14:formula1>
            <xm:f>D5</xm:f>
          </x14:formula1>
          <xm:sqref>D6</xm:sqref>
        </x14:dataValidation>
        <x14:dataValidation xr:uid="{009A00C3-00AB-4254-8338-000E001B00BC}" type="decimal" allowBlank="1" error="Enter a value less than VIN(min)" errorStyle="stop" errorTitle="PGSET Error" imeMode="noControl" operator="lessThan" showDropDown="0" showErrorMessage="1" showInputMessage="1">
          <x14:formula1>
            <xm:f>D5</xm:f>
          </x14:formula1>
          <xm:sqref>D59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3">
    <tabColor rgb="FF7030A0"/>
    <outlinePr applyStyles="0" summaryBelow="1" summaryRight="1" showOutlineSymbols="1"/>
    <pageSetUpPr autoPageBreaks="1" fitToPage="0"/>
  </sheetPr>
  <sheetViews>
    <sheetView showGridLines="0" zoomScale="55" workbookViewId="0">
      <selection activeCell="Z48" activeCellId="0" sqref="Z48"/>
    </sheetView>
  </sheetViews>
  <sheetFormatPr defaultColWidth="9.140625" defaultRowHeight="15"/>
  <cols>
    <col customWidth="1" min="1" max="1" style="124" width="69.5703125"/>
    <col customWidth="1" min="2" max="2" style="124" width="25.140625"/>
    <col customWidth="1" min="3" max="3" style="124" width="16.5703125"/>
    <col customWidth="1" min="4" max="5" style="124" width="15.5703125"/>
    <col customWidth="1" min="6" max="6" style="5" width="12.42578125"/>
    <col customWidth="1" min="7" max="7" style="5" width="9.140625"/>
    <col customWidth="1" min="8" max="8" style="5" width="13.85546875"/>
    <col min="9" max="16384" style="5" width="9.140625"/>
  </cols>
  <sheetData>
    <row r="1" ht="18.75">
      <c r="A1" s="125" t="s">
        <v>203</v>
      </c>
      <c r="B1" s="126" t="s">
        <v>204</v>
      </c>
      <c r="C1" s="126"/>
      <c r="D1" s="126"/>
      <c r="E1" s="127"/>
      <c r="F1" s="128"/>
      <c r="G1" s="128"/>
      <c r="H1" s="128" t="s">
        <v>205</v>
      </c>
      <c r="I1" s="128"/>
      <c r="J1" s="129" t="s">
        <v>206</v>
      </c>
      <c r="K1" s="130"/>
      <c r="L1" s="130"/>
      <c r="M1" s="130"/>
      <c r="N1" s="130"/>
      <c r="O1" s="128"/>
      <c r="P1" s="128"/>
      <c r="Q1" s="131" t="s">
        <v>204</v>
      </c>
      <c r="R1" s="128"/>
      <c r="S1" s="128"/>
      <c r="T1" s="128"/>
      <c r="U1" s="128"/>
      <c r="V1" s="128"/>
    </row>
    <row r="2" ht="15.75">
      <c r="A2" s="132" t="s">
        <v>207</v>
      </c>
      <c r="B2" s="133" t="s">
        <v>208</v>
      </c>
      <c r="C2" s="133" t="s">
        <v>209</v>
      </c>
      <c r="D2" s="133" t="s">
        <v>29</v>
      </c>
      <c r="E2" s="133" t="s">
        <v>210</v>
      </c>
      <c r="F2" s="133" t="s">
        <v>211</v>
      </c>
      <c r="J2" s="134"/>
    </row>
    <row r="3">
      <c r="A3" s="135">
        <v>3</v>
      </c>
      <c r="B3" s="135">
        <v>2740</v>
      </c>
      <c r="C3" s="135">
        <v>2740</v>
      </c>
      <c r="D3" s="135">
        <v>2740</v>
      </c>
      <c r="E3" s="135">
        <v>2740</v>
      </c>
      <c r="F3" s="135">
        <v>590</v>
      </c>
      <c r="H3" s="136" t="s">
        <v>212</v>
      </c>
      <c r="I3" s="5" t="s">
        <v>213</v>
      </c>
      <c r="J3" s="137" t="s">
        <v>214</v>
      </c>
    </row>
    <row r="4">
      <c r="A4" s="135">
        <v>6</v>
      </c>
      <c r="B4" s="135">
        <v>2740</v>
      </c>
      <c r="C4" s="135">
        <v>2740</v>
      </c>
      <c r="D4" s="135">
        <v>1920</v>
      </c>
      <c r="E4" s="135">
        <v>460</v>
      </c>
      <c r="F4" s="135">
        <v>77</v>
      </c>
      <c r="I4" s="5" t="s">
        <v>215</v>
      </c>
      <c r="J4" s="137" t="s">
        <v>216</v>
      </c>
    </row>
    <row r="5">
      <c r="A5" s="135">
        <v>10</v>
      </c>
      <c r="B5" s="135">
        <v>2700</v>
      </c>
      <c r="C5" s="135">
        <v>960</v>
      </c>
      <c r="D5" s="135">
        <v>450</v>
      </c>
      <c r="E5" s="135">
        <v>95</v>
      </c>
      <c r="F5" s="135">
        <v>25</v>
      </c>
      <c r="J5" s="137"/>
    </row>
    <row r="6">
      <c r="A6" s="135">
        <v>12.5</v>
      </c>
      <c r="B6" s="135">
        <v>1050</v>
      </c>
      <c r="C6" s="135">
        <v>520</v>
      </c>
      <c r="D6" s="135">
        <v>128</v>
      </c>
      <c r="E6" s="135">
        <v>63</v>
      </c>
      <c r="F6" s="135">
        <v>16</v>
      </c>
      <c r="J6" s="134"/>
    </row>
    <row r="7">
      <c r="A7" s="135">
        <v>15</v>
      </c>
      <c r="B7" s="135">
        <v>590</v>
      </c>
      <c r="C7" s="135">
        <v>333</v>
      </c>
      <c r="D7" s="135">
        <v>93</v>
      </c>
      <c r="E7" s="135">
        <v>42</v>
      </c>
      <c r="F7" s="135">
        <v>8</v>
      </c>
      <c r="J7" s="134"/>
    </row>
    <row r="8">
      <c r="A8" s="135">
        <v>20</v>
      </c>
      <c r="B8" s="135">
        <v>282</v>
      </c>
      <c r="C8" s="135">
        <v>160</v>
      </c>
      <c r="D8" s="135">
        <v>56</v>
      </c>
      <c r="E8" s="135">
        <v>22</v>
      </c>
      <c r="F8" s="135">
        <v>6.5</v>
      </c>
      <c r="H8" s="138"/>
      <c r="J8" s="138"/>
    </row>
    <row r="9">
      <c r="A9" s="135">
        <v>25</v>
      </c>
      <c r="B9" s="135">
        <v>155</v>
      </c>
      <c r="C9" s="135">
        <v>73</v>
      </c>
      <c r="D9" s="135">
        <v>40</v>
      </c>
      <c r="E9" s="135">
        <v>15</v>
      </c>
      <c r="F9" s="135">
        <v>4.5</v>
      </c>
      <c r="J9" s="138"/>
    </row>
    <row r="10">
      <c r="A10" s="135">
        <v>30</v>
      </c>
      <c r="B10" s="135">
        <v>80</v>
      </c>
      <c r="C10" s="135">
        <v>51</v>
      </c>
      <c r="D10" s="135">
        <v>27.5</v>
      </c>
      <c r="E10" s="135">
        <v>9.4000000000000004</v>
      </c>
      <c r="F10" s="135">
        <v>3.5</v>
      </c>
    </row>
    <row r="11">
      <c r="A11" s="135">
        <v>35</v>
      </c>
      <c r="B11" s="135">
        <v>58</v>
      </c>
      <c r="C11" s="135">
        <v>37</v>
      </c>
      <c r="D11" s="135">
        <v>23</v>
      </c>
      <c r="E11" s="135">
        <v>7</v>
      </c>
      <c r="F11" s="135">
        <v>2.7999999999999998</v>
      </c>
    </row>
    <row r="12">
      <c r="A12" s="135">
        <v>40</v>
      </c>
      <c r="B12" s="135">
        <v>44</v>
      </c>
      <c r="C12" s="135">
        <v>28</v>
      </c>
      <c r="D12" s="135">
        <v>15.4</v>
      </c>
      <c r="E12" s="135">
        <v>5.5</v>
      </c>
      <c r="F12" s="135">
        <v>2.2999999999999998</v>
      </c>
    </row>
    <row r="13">
      <c r="A13" s="135">
        <v>45</v>
      </c>
      <c r="B13" s="135">
        <v>34</v>
      </c>
      <c r="C13" s="135">
        <v>22</v>
      </c>
      <c r="D13" s="135">
        <v>11.5</v>
      </c>
      <c r="E13" s="135">
        <v>4.5</v>
      </c>
      <c r="F13" s="135">
        <v>2</v>
      </c>
    </row>
    <row r="14">
      <c r="A14" s="135">
        <v>50</v>
      </c>
      <c r="B14" s="135">
        <v>26</v>
      </c>
      <c r="C14" s="135">
        <v>17</v>
      </c>
      <c r="D14" s="135">
        <v>10</v>
      </c>
      <c r="E14" s="135">
        <v>3.7999999999999998</v>
      </c>
      <c r="F14" s="135">
        <v>1.7</v>
      </c>
    </row>
    <row r="15">
      <c r="A15" s="135">
        <v>55</v>
      </c>
      <c r="B15" s="135">
        <v>21</v>
      </c>
      <c r="C15" s="135">
        <v>14</v>
      </c>
      <c r="D15" s="135">
        <v>8</v>
      </c>
      <c r="E15" s="135">
        <v>3.2999999999999998</v>
      </c>
      <c r="F15" s="135">
        <v>1.5</v>
      </c>
    </row>
    <row r="16">
      <c r="A16" s="135">
        <v>60</v>
      </c>
      <c r="B16" s="135">
        <v>18</v>
      </c>
      <c r="C16" s="135">
        <v>11.4</v>
      </c>
      <c r="D16" s="135">
        <v>7</v>
      </c>
      <c r="E16" s="135">
        <v>2.8999999999999999</v>
      </c>
      <c r="F16" s="135">
        <v>1.3</v>
      </c>
    </row>
    <row r="17">
      <c r="A17" s="135">
        <v>90</v>
      </c>
      <c r="B17" s="135">
        <v>7</v>
      </c>
      <c r="C17" s="135">
        <v>5</v>
      </c>
      <c r="D17" s="135">
        <v>3.3999999999999999</v>
      </c>
      <c r="E17" s="135">
        <v>2</v>
      </c>
      <c r="F17" s="135">
        <v>0.95999999999999996</v>
      </c>
    </row>
    <row r="18">
      <c r="A18" s="135">
        <v>120</v>
      </c>
      <c r="B18" s="135">
        <v>4.2999999999999998</v>
      </c>
      <c r="C18" s="135">
        <v>3.2999999999999998</v>
      </c>
      <c r="D18" s="135">
        <v>2.2000000000000002</v>
      </c>
      <c r="E18" s="135">
        <v>1.3999999999999999</v>
      </c>
      <c r="F18" s="135">
        <v>0.65000000000000002</v>
      </c>
    </row>
    <row r="19">
      <c r="A19" s="135">
        <v>150</v>
      </c>
      <c r="B19" s="135">
        <v>3.2999999999999998</v>
      </c>
      <c r="C19" s="135">
        <v>2.3999999999999999</v>
      </c>
      <c r="D19" s="135">
        <v>1.8</v>
      </c>
      <c r="E19" s="135">
        <v>1</v>
      </c>
      <c r="F19" s="135">
        <v>0.54000000000000004</v>
      </c>
    </row>
    <row r="20">
      <c r="A20" s="135">
        <v>180</v>
      </c>
      <c r="B20" s="135">
        <v>2.3999999999999999</v>
      </c>
      <c r="C20" s="135">
        <v>1.8</v>
      </c>
      <c r="D20" s="135">
        <v>1.3999999999999999</v>
      </c>
      <c r="E20" s="135">
        <v>0.81999999999999995</v>
      </c>
      <c r="F20" s="135">
        <v>0.39000000000000001</v>
      </c>
    </row>
    <row r="21">
      <c r="A21" s="135">
        <v>210</v>
      </c>
      <c r="B21" s="135">
        <v>1.8999999999999999</v>
      </c>
      <c r="C21" s="135">
        <v>1.5</v>
      </c>
      <c r="D21" s="135">
        <v>1.1000000000000001</v>
      </c>
      <c r="E21" s="135">
        <v>0.67000000000000004</v>
      </c>
      <c r="F21" s="135">
        <v>0.32000000000000001</v>
      </c>
    </row>
    <row r="22">
      <c r="A22" s="135">
        <v>240</v>
      </c>
      <c r="B22" s="135">
        <v>1.6000000000000001</v>
      </c>
      <c r="C22" s="135">
        <v>1.3</v>
      </c>
      <c r="D22" s="135">
        <v>0.90000000000000002</v>
      </c>
      <c r="E22" s="135">
        <v>0.56000000000000005</v>
      </c>
      <c r="F22" s="135">
        <v>0.27000000000000002</v>
      </c>
    </row>
    <row r="23">
      <c r="A23" s="135">
        <v>270</v>
      </c>
      <c r="B23" s="135">
        <v>1.3500000000000001</v>
      </c>
      <c r="C23" s="135">
        <v>1.1000000000000001</v>
      </c>
      <c r="D23" s="135">
        <v>0.80000000000000004</v>
      </c>
      <c r="E23" s="135">
        <v>0.47999999999999998</v>
      </c>
      <c r="F23" s="135">
        <v>0.23999999999999999</v>
      </c>
    </row>
    <row r="24">
      <c r="A24" s="135">
        <v>300</v>
      </c>
      <c r="B24" s="135">
        <v>1.2</v>
      </c>
      <c r="C24" s="135">
        <v>0.94999999999999996</v>
      </c>
      <c r="D24" s="135">
        <v>0.76000000000000001</v>
      </c>
      <c r="E24" s="135">
        <v>0.41999999999999998</v>
      </c>
      <c r="F24" s="135">
        <v>0.20999999999999999</v>
      </c>
    </row>
    <row r="25">
      <c r="A25" s="135">
        <v>330</v>
      </c>
      <c r="B25" s="135">
        <v>1.05</v>
      </c>
      <c r="C25" s="135">
        <v>0.84999999999999998</v>
      </c>
      <c r="D25" s="135">
        <v>0.67000000000000004</v>
      </c>
      <c r="E25" s="135">
        <v>0.37</v>
      </c>
      <c r="F25" s="135">
        <v>0.17999999999999999</v>
      </c>
    </row>
    <row r="26">
      <c r="A26" s="124">
        <v>360</v>
      </c>
      <c r="B26" s="135">
        <v>0.93999999999999995</v>
      </c>
      <c r="C26" s="135">
        <v>0.75</v>
      </c>
      <c r="D26" s="135">
        <v>0.58999999999999997</v>
      </c>
      <c r="E26" s="135">
        <v>0.33000000000000002</v>
      </c>
      <c r="F26" s="135">
        <v>0.17000000000000001</v>
      </c>
    </row>
    <row r="27">
      <c r="E27" s="135"/>
    </row>
    <row r="28">
      <c r="E28" s="135"/>
    </row>
    <row r="29">
      <c r="E29" s="135"/>
    </row>
    <row r="30">
      <c r="D30" s="135"/>
      <c r="E30" s="135"/>
    </row>
    <row r="31">
      <c r="D31" s="135"/>
      <c r="E31" s="135"/>
    </row>
    <row r="32">
      <c r="B32" s="135"/>
      <c r="C32" s="135"/>
      <c r="D32" s="135"/>
      <c r="E32" s="135"/>
    </row>
    <row r="33">
      <c r="A33" s="5"/>
      <c r="B33" s="139"/>
      <c r="C33" s="140" t="s">
        <v>217</v>
      </c>
      <c r="D33" s="141" t="s">
        <v>218</v>
      </c>
      <c r="E33" s="135"/>
    </row>
    <row r="34">
      <c r="A34" s="5"/>
      <c r="B34" s="142" t="s">
        <v>219</v>
      </c>
      <c r="C34" s="135">
        <f>'Calculation Sheet'!D53</f>
        <v>15</v>
      </c>
      <c r="D34" s="143">
        <f>Tdvdt</f>
        <v>90</v>
      </c>
      <c r="E34" s="135"/>
    </row>
    <row r="35">
      <c r="A35" s="5"/>
      <c r="B35" s="144" t="s">
        <v>220</v>
      </c>
      <c r="C35" s="145">
        <f>'Calculation Sheet'!D52</f>
        <v>11.719999999999999</v>
      </c>
      <c r="D35" s="146">
        <f>D34</f>
        <v>90</v>
      </c>
      <c r="E35" s="135"/>
    </row>
    <row r="36">
      <c r="A36" s="5"/>
      <c r="B36" s="135"/>
      <c r="C36" s="135"/>
      <c r="D36" s="135"/>
      <c r="E36" s="135"/>
    </row>
    <row r="37">
      <c r="A37" s="5"/>
      <c r="B37" s="135"/>
      <c r="C37" s="135"/>
      <c r="D37" s="135"/>
      <c r="E37" s="135"/>
    </row>
    <row r="38">
      <c r="A38" s="5"/>
      <c r="B38" s="135"/>
      <c r="C38" s="135"/>
      <c r="D38" s="135"/>
      <c r="E38" s="135"/>
    </row>
    <row r="39" ht="18.75">
      <c r="A39" s="125" t="s">
        <v>203</v>
      </c>
      <c r="B39" s="131" t="s">
        <v>221</v>
      </c>
      <c r="C39" s="126"/>
      <c r="D39" s="126"/>
      <c r="E39" s="127"/>
      <c r="F39" s="128"/>
      <c r="G39" s="128"/>
      <c r="H39" s="128"/>
      <c r="I39" s="128"/>
      <c r="J39" s="128"/>
      <c r="K39" s="128"/>
      <c r="L39" s="128"/>
      <c r="M39" s="128"/>
      <c r="N39" s="131" t="s">
        <v>221</v>
      </c>
      <c r="O39" s="128"/>
      <c r="P39" s="128"/>
      <c r="Q39" s="128"/>
      <c r="R39" s="128"/>
      <c r="S39" s="128"/>
      <c r="T39" s="128"/>
      <c r="U39" s="128"/>
      <c r="V39" s="128"/>
    </row>
    <row r="40" ht="15.75">
      <c r="A40" s="132" t="s">
        <v>207</v>
      </c>
      <c r="B40" s="133" t="s">
        <v>208</v>
      </c>
      <c r="C40" s="133" t="s">
        <v>209</v>
      </c>
      <c r="D40" s="133" t="s">
        <v>29</v>
      </c>
      <c r="E40" s="133" t="s">
        <v>210</v>
      </c>
      <c r="F40" s="133" t="s">
        <v>211</v>
      </c>
    </row>
    <row r="41">
      <c r="A41" s="147">
        <v>3</v>
      </c>
      <c r="B41" s="148">
        <v>2733</v>
      </c>
      <c r="C41" s="148">
        <v>2733</v>
      </c>
      <c r="D41" s="148">
        <v>2733</v>
      </c>
      <c r="E41" s="148">
        <v>2733</v>
      </c>
      <c r="F41" s="148">
        <v>2733</v>
      </c>
      <c r="G41" s="149"/>
      <c r="H41" s="149"/>
      <c r="I41" s="149"/>
      <c r="J41" s="149"/>
      <c r="K41" s="149"/>
      <c r="L41" s="5"/>
    </row>
    <row r="42">
      <c r="A42" s="147">
        <v>6</v>
      </c>
      <c r="B42" s="148">
        <v>2733</v>
      </c>
      <c r="C42" s="148">
        <v>2733</v>
      </c>
      <c r="D42" s="148">
        <v>2700</v>
      </c>
      <c r="E42" s="148">
        <v>2328</v>
      </c>
      <c r="F42" s="148">
        <v>405.5</v>
      </c>
      <c r="G42" s="149"/>
      <c r="H42" s="149"/>
      <c r="I42" s="149"/>
      <c r="J42" s="149"/>
      <c r="K42" s="149"/>
      <c r="L42" s="5"/>
    </row>
    <row r="43">
      <c r="A43" s="147">
        <v>10</v>
      </c>
      <c r="B43" s="148">
        <v>2733</v>
      </c>
      <c r="C43" s="148">
        <v>2733</v>
      </c>
      <c r="D43" s="148">
        <v>1638.8199999999999</v>
      </c>
      <c r="E43" s="148">
        <v>413.51999999999998</v>
      </c>
      <c r="F43" s="148">
        <v>134.69999999999999</v>
      </c>
      <c r="G43" s="149"/>
      <c r="H43" s="149"/>
      <c r="I43" s="149"/>
      <c r="J43" s="149"/>
      <c r="K43" s="149"/>
      <c r="L43" s="5"/>
    </row>
    <row r="44">
      <c r="A44" s="147">
        <v>12.5</v>
      </c>
      <c r="B44" s="148">
        <v>2733</v>
      </c>
      <c r="C44" s="148">
        <v>1215.8299999999999</v>
      </c>
      <c r="D44" s="148">
        <v>784.92999999999995</v>
      </c>
      <c r="E44" s="148">
        <v>226.69999999999999</v>
      </c>
      <c r="F44" s="148">
        <v>78.378</v>
      </c>
      <c r="G44" s="149"/>
      <c r="H44" s="149"/>
      <c r="I44" s="149"/>
      <c r="J44" s="149"/>
      <c r="K44" s="149"/>
      <c r="L44" s="5"/>
    </row>
    <row r="45">
      <c r="A45" s="147">
        <v>15</v>
      </c>
      <c r="B45" s="148">
        <v>1368.8599999999999</v>
      </c>
      <c r="C45" s="148">
        <v>673.16999999999996</v>
      </c>
      <c r="D45" s="148">
        <v>459.32999999999998</v>
      </c>
      <c r="E45" s="148">
        <v>143.38399999999999</v>
      </c>
      <c r="F45" s="148">
        <v>50</v>
      </c>
      <c r="G45" s="149"/>
      <c r="H45" s="149"/>
      <c r="I45" s="149"/>
      <c r="J45" s="149"/>
      <c r="K45" s="149"/>
      <c r="L45" s="5"/>
    </row>
    <row r="46">
      <c r="A46" s="147">
        <v>20</v>
      </c>
      <c r="B46" s="148">
        <v>527.67999999999995</v>
      </c>
      <c r="C46" s="148">
        <v>298.08999999999997</v>
      </c>
      <c r="D46" s="148">
        <v>213.53</v>
      </c>
      <c r="E46" s="148">
        <v>71.962000000000003</v>
      </c>
      <c r="F46" s="148">
        <v>25.699999999999999</v>
      </c>
      <c r="G46" s="149"/>
      <c r="H46" s="149"/>
      <c r="I46" s="149"/>
      <c r="J46" s="149"/>
      <c r="K46" s="149"/>
      <c r="L46" s="5"/>
    </row>
    <row r="47">
      <c r="A47" s="147">
        <v>25</v>
      </c>
      <c r="B47" s="148">
        <v>285</v>
      </c>
      <c r="C47" s="148">
        <v>170.40000000000001</v>
      </c>
      <c r="D47" s="148">
        <v>123.95</v>
      </c>
      <c r="E47" s="148">
        <v>42.060000000000002</v>
      </c>
      <c r="F47" s="148">
        <v>15</v>
      </c>
      <c r="G47" s="149"/>
      <c r="H47" s="149"/>
      <c r="I47" s="149"/>
      <c r="J47" s="149"/>
      <c r="K47" s="149"/>
      <c r="L47" s="5"/>
    </row>
    <row r="48">
      <c r="A48" s="147">
        <v>30</v>
      </c>
      <c r="B48" s="148">
        <v>178.94200000000001</v>
      </c>
      <c r="C48" s="148">
        <v>108.95</v>
      </c>
      <c r="D48" s="148">
        <v>79.459999999999994</v>
      </c>
      <c r="E48" s="148">
        <v>27.352</v>
      </c>
      <c r="F48" s="148">
        <v>9.9000000000000004</v>
      </c>
      <c r="G48" s="149"/>
      <c r="H48" s="149"/>
      <c r="I48" s="149"/>
      <c r="J48" s="149"/>
      <c r="K48" s="149"/>
      <c r="L48" s="5"/>
    </row>
    <row r="49">
      <c r="A49" s="147">
        <v>35</v>
      </c>
      <c r="B49" s="148">
        <v>118.69</v>
      </c>
      <c r="C49" s="148">
        <v>74.635999999999996</v>
      </c>
      <c r="D49" s="148">
        <v>54.729999999999997</v>
      </c>
      <c r="E49" s="148">
        <v>18.890000000000001</v>
      </c>
      <c r="F49" s="148">
        <v>6.8700000000000001</v>
      </c>
      <c r="G49" s="149"/>
      <c r="H49" s="149"/>
      <c r="I49" s="149"/>
      <c r="J49" s="149"/>
      <c r="K49" s="149"/>
      <c r="L49" s="5"/>
    </row>
    <row r="50">
      <c r="A50" s="147">
        <v>40</v>
      </c>
      <c r="B50" s="148">
        <v>87.567999999999998</v>
      </c>
      <c r="C50" s="148">
        <v>55.32</v>
      </c>
      <c r="D50" s="148">
        <v>40.365000000000002</v>
      </c>
      <c r="E50" s="148">
        <v>13.699999999999999</v>
      </c>
      <c r="F50" s="148">
        <v>5.0700000000000003</v>
      </c>
      <c r="G50" s="149"/>
      <c r="H50" s="149"/>
      <c r="I50" s="149"/>
      <c r="J50" s="149"/>
      <c r="K50" s="149"/>
      <c r="L50" s="5"/>
    </row>
    <row r="51">
      <c r="A51" s="147">
        <v>45</v>
      </c>
      <c r="B51" s="148">
        <v>65.219999999999999</v>
      </c>
      <c r="C51" s="148">
        <v>41.438000000000002</v>
      </c>
      <c r="D51" s="148">
        <v>30.629999999999999</v>
      </c>
      <c r="E51" s="148">
        <v>10.195</v>
      </c>
      <c r="F51" s="148">
        <v>4.04</v>
      </c>
      <c r="G51" s="149"/>
      <c r="H51" s="149"/>
      <c r="I51" s="149"/>
      <c r="J51" s="149"/>
      <c r="K51" s="149"/>
      <c r="L51" s="5"/>
    </row>
    <row r="52">
      <c r="A52" s="147">
        <v>50</v>
      </c>
      <c r="B52" s="148">
        <v>48.152999999999999</v>
      </c>
      <c r="C52" s="148">
        <v>31.542999999999999</v>
      </c>
      <c r="D52" s="148">
        <v>23.600000000000001</v>
      </c>
      <c r="E52" s="148">
        <v>7.8799999999999999</v>
      </c>
      <c r="F52" s="148">
        <v>3.2799999999999998</v>
      </c>
      <c r="G52" s="149"/>
      <c r="H52" s="149"/>
      <c r="I52" s="149"/>
      <c r="J52" s="149"/>
      <c r="K52" s="149"/>
      <c r="L52" s="5"/>
    </row>
    <row r="53">
      <c r="A53" s="147">
        <v>55</v>
      </c>
      <c r="B53" s="148">
        <v>34.810000000000002</v>
      </c>
      <c r="C53" s="148">
        <v>24</v>
      </c>
      <c r="D53" s="148">
        <v>18.579999999999998</v>
      </c>
      <c r="E53" s="148">
        <v>6.2843999999999998</v>
      </c>
      <c r="F53" s="148">
        <v>2.7570000000000001</v>
      </c>
      <c r="G53" s="149"/>
      <c r="H53" s="149"/>
      <c r="I53" s="149"/>
      <c r="J53" s="149"/>
      <c r="K53" s="149"/>
      <c r="L53" s="5"/>
    </row>
    <row r="54">
      <c r="A54" s="147">
        <v>60</v>
      </c>
      <c r="B54" s="148">
        <v>25.242000000000001</v>
      </c>
      <c r="C54" s="148">
        <v>18.934999999999999</v>
      </c>
      <c r="D54" s="148">
        <v>14.66</v>
      </c>
      <c r="E54" s="148">
        <v>5.1100000000000003</v>
      </c>
      <c r="F54" s="148">
        <v>2.3900000000000001</v>
      </c>
      <c r="G54" s="149"/>
      <c r="H54" s="149"/>
      <c r="I54" s="149"/>
      <c r="J54" s="149"/>
      <c r="K54" s="149"/>
      <c r="L54" s="5"/>
    </row>
    <row r="55">
      <c r="A55" s="147">
        <v>90</v>
      </c>
      <c r="B55" s="148">
        <v>13.749000000000001</v>
      </c>
      <c r="C55" s="148">
        <v>8.9596</v>
      </c>
      <c r="D55" s="148">
        <v>6.7838000000000003</v>
      </c>
      <c r="E55" s="148">
        <v>2.9900000000000002</v>
      </c>
      <c r="F55" s="148">
        <v>1.544</v>
      </c>
      <c r="G55" s="149"/>
      <c r="H55" s="149"/>
      <c r="I55" s="149"/>
      <c r="J55" s="149"/>
      <c r="K55" s="149"/>
      <c r="L55" s="5"/>
    </row>
    <row r="56">
      <c r="A56" s="147">
        <v>120</v>
      </c>
      <c r="B56" s="148">
        <v>7</v>
      </c>
      <c r="C56" s="148">
        <v>4.8495999999999997</v>
      </c>
      <c r="D56" s="148">
        <v>3.7911999999999999</v>
      </c>
      <c r="E56" s="148">
        <v>1.911</v>
      </c>
      <c r="F56" s="148">
        <v>1.0175000000000001</v>
      </c>
      <c r="G56" s="149"/>
      <c r="H56" s="149"/>
      <c r="I56" s="149"/>
      <c r="J56" s="149"/>
      <c r="K56" s="149"/>
      <c r="L56" s="5"/>
    </row>
    <row r="57">
      <c r="A57" s="147">
        <v>150</v>
      </c>
      <c r="B57" s="148">
        <v>4.4128999999999996</v>
      </c>
      <c r="C57" s="148">
        <v>3.133</v>
      </c>
      <c r="D57" s="148">
        <v>2.4744999999999999</v>
      </c>
      <c r="E57" s="148">
        <v>1.3500000000000001</v>
      </c>
      <c r="F57" s="148">
        <v>0.77800000000000002</v>
      </c>
      <c r="G57" s="149"/>
      <c r="H57" s="149"/>
      <c r="I57" s="149"/>
      <c r="J57" s="149"/>
      <c r="K57" s="149"/>
      <c r="L57" s="5"/>
    </row>
    <row r="58">
      <c r="A58" s="147">
        <v>180</v>
      </c>
      <c r="B58" s="148">
        <v>2.9769999999999999</v>
      </c>
      <c r="C58" s="148">
        <v>2.2879999999999998</v>
      </c>
      <c r="D58" s="148">
        <v>1.8844000000000001</v>
      </c>
      <c r="E58" s="148">
        <v>1</v>
      </c>
      <c r="F58" s="148">
        <v>0.61799999999999999</v>
      </c>
      <c r="G58" s="149"/>
      <c r="H58" s="149"/>
      <c r="I58" s="149"/>
      <c r="J58" s="149"/>
      <c r="K58" s="149"/>
      <c r="L58" s="5"/>
    </row>
    <row r="59">
      <c r="A59" s="147">
        <v>210</v>
      </c>
      <c r="B59" s="148">
        <v>2.4180000000000001</v>
      </c>
      <c r="C59" s="148">
        <v>1.7769999999999999</v>
      </c>
      <c r="D59" s="148">
        <v>1.5173000000000001</v>
      </c>
      <c r="E59" s="148">
        <v>0.873</v>
      </c>
      <c r="F59" s="148">
        <v>0.50600000000000001</v>
      </c>
      <c r="G59" s="149"/>
      <c r="H59" s="149"/>
      <c r="I59" s="149"/>
      <c r="J59" s="149"/>
      <c r="K59" s="149"/>
      <c r="L59" s="5"/>
    </row>
    <row r="60">
      <c r="A60" s="147">
        <v>240</v>
      </c>
      <c r="B60" s="148">
        <v>1.8580000000000001</v>
      </c>
      <c r="C60" s="148">
        <v>1.4581</v>
      </c>
      <c r="D60" s="148">
        <v>1.246</v>
      </c>
      <c r="E60" s="148">
        <v>0.71399999999999997</v>
      </c>
      <c r="F60" s="148">
        <v>0.45800000000000002</v>
      </c>
      <c r="G60" s="149"/>
      <c r="H60" s="149"/>
      <c r="I60" s="149"/>
      <c r="J60" s="149"/>
      <c r="K60" s="149"/>
      <c r="L60" s="5"/>
    </row>
    <row r="61">
      <c r="A61" s="147">
        <v>270</v>
      </c>
      <c r="B61" s="148">
        <v>1.5387</v>
      </c>
      <c r="C61" s="148">
        <v>1.2186999999999999</v>
      </c>
      <c r="D61" s="148">
        <v>1.0385</v>
      </c>
      <c r="E61" s="148">
        <v>0.63400000000000001</v>
      </c>
      <c r="F61" s="148">
        <v>0.41099999999999998</v>
      </c>
      <c r="G61" s="149"/>
      <c r="H61" s="149"/>
      <c r="I61" s="149"/>
      <c r="J61" s="149"/>
      <c r="K61" s="149"/>
      <c r="L61" s="5"/>
    </row>
    <row r="62">
      <c r="A62" s="147">
        <v>300</v>
      </c>
      <c r="B62" s="148">
        <v>1.3151999999999999</v>
      </c>
      <c r="C62" s="148">
        <v>1.0430999999999999</v>
      </c>
      <c r="D62" s="148">
        <v>0.91000000000000003</v>
      </c>
      <c r="E62" s="148">
        <v>0.54600000000000004</v>
      </c>
      <c r="F62" s="148">
        <v>0.36299999999999999</v>
      </c>
      <c r="G62" s="149"/>
      <c r="H62" s="149"/>
      <c r="I62" s="149"/>
      <c r="J62" s="149"/>
      <c r="K62" s="149"/>
      <c r="L62" s="5"/>
    </row>
    <row r="63">
      <c r="A63" s="147">
        <v>330</v>
      </c>
      <c r="B63" s="148">
        <v>1.1396999999999999</v>
      </c>
      <c r="C63" s="148">
        <v>0.93100000000000005</v>
      </c>
      <c r="D63" s="148">
        <v>0.82999999999999996</v>
      </c>
      <c r="E63" s="148">
        <v>0.498</v>
      </c>
      <c r="F63" s="148">
        <v>0.34699999999999998</v>
      </c>
      <c r="G63" s="149"/>
      <c r="H63" s="149"/>
      <c r="I63" s="149"/>
      <c r="J63" s="149"/>
      <c r="K63" s="149"/>
      <c r="L63" s="5"/>
    </row>
    <row r="64">
      <c r="A64" s="147">
        <v>360</v>
      </c>
      <c r="B64" s="148">
        <v>0.97999999999999998</v>
      </c>
      <c r="C64" s="148">
        <v>0.85099999999999998</v>
      </c>
      <c r="D64" s="148">
        <v>0.70299999999999996</v>
      </c>
      <c r="E64" s="148">
        <v>0.45800000000000002</v>
      </c>
      <c r="F64" s="148">
        <v>0.307</v>
      </c>
      <c r="G64" s="149"/>
      <c r="H64" s="149"/>
      <c r="I64" s="149"/>
      <c r="J64" s="149"/>
      <c r="K64" s="149"/>
      <c r="L64" s="5"/>
    </row>
    <row r="65">
      <c r="A65" s="5"/>
      <c r="B65" s="135"/>
      <c r="C65" s="135"/>
      <c r="D65" s="135"/>
      <c r="E65" s="135"/>
    </row>
    <row r="66">
      <c r="A66" s="5"/>
      <c r="B66" s="135"/>
      <c r="C66" s="135"/>
      <c r="D66" s="135"/>
      <c r="E66" s="135"/>
    </row>
    <row r="67">
      <c r="A67" s="5"/>
      <c r="B67" s="139"/>
      <c r="C67" s="140" t="s">
        <v>217</v>
      </c>
      <c r="D67" s="141" t="s">
        <v>218</v>
      </c>
      <c r="E67" s="135"/>
    </row>
    <row r="68">
      <c r="A68" s="5"/>
      <c r="B68" s="142" t="s">
        <v>219</v>
      </c>
      <c r="C68" s="135">
        <f>'Calculation Sheet'!D54</f>
        <v>25</v>
      </c>
      <c r="D68" s="143">
        <f>Tdvdt</f>
        <v>90</v>
      </c>
      <c r="E68" s="135"/>
    </row>
    <row r="69">
      <c r="A69" s="5"/>
      <c r="B69" s="144" t="s">
        <v>220</v>
      </c>
      <c r="C69" s="145">
        <f>'Calculation Sheet'!D52</f>
        <v>11.719999999999999</v>
      </c>
      <c r="D69" s="146">
        <f>D68</f>
        <v>90</v>
      </c>
      <c r="E69" s="135"/>
    </row>
    <row r="70">
      <c r="A70" s="5"/>
      <c r="B70" s="135"/>
      <c r="C70" s="135"/>
      <c r="D70" s="135"/>
      <c r="E70" s="135"/>
    </row>
    <row r="71">
      <c r="A71" s="5"/>
      <c r="B71" s="135"/>
      <c r="C71" s="135"/>
      <c r="D71" s="135"/>
      <c r="E71" s="135"/>
    </row>
    <row r="72">
      <c r="A72" s="5"/>
      <c r="B72" s="135"/>
      <c r="C72" s="135"/>
      <c r="D72" s="135"/>
      <c r="E72" s="135"/>
    </row>
    <row r="73">
      <c r="A73" s="5"/>
      <c r="B73" s="135"/>
      <c r="C73" s="135"/>
      <c r="D73" s="135"/>
      <c r="E73" s="135"/>
    </row>
    <row r="74">
      <c r="A74" s="5"/>
      <c r="B74" s="135"/>
      <c r="C74" s="135"/>
      <c r="D74" s="135"/>
      <c r="E74" s="135"/>
    </row>
    <row r="75">
      <c r="A75" s="5"/>
      <c r="B75" s="135"/>
      <c r="C75" s="135"/>
      <c r="D75" s="135"/>
      <c r="E75" s="135"/>
    </row>
    <row r="76">
      <c r="A76" s="5"/>
      <c r="B76" s="135"/>
      <c r="C76" s="135"/>
      <c r="D76" s="135"/>
      <c r="E76" s="135"/>
    </row>
    <row r="77">
      <c r="A77" s="5"/>
      <c r="B77" s="135"/>
      <c r="C77" s="135"/>
      <c r="D77" s="135"/>
      <c r="E77" s="135"/>
    </row>
    <row r="78">
      <c r="A78" s="5"/>
      <c r="B78" s="135"/>
      <c r="C78" s="135"/>
      <c r="D78" s="135"/>
      <c r="E78" s="135"/>
    </row>
    <row r="79">
      <c r="A79" s="5"/>
      <c r="B79" s="135"/>
      <c r="C79" s="135"/>
      <c r="D79" s="135"/>
      <c r="E79" s="135"/>
    </row>
    <row r="80">
      <c r="A80" s="5"/>
      <c r="B80" s="135"/>
      <c r="C80" s="135"/>
      <c r="D80" s="135"/>
      <c r="E80" s="135"/>
    </row>
    <row r="81">
      <c r="A81" s="5"/>
      <c r="B81" s="135"/>
      <c r="C81" s="135"/>
      <c r="D81" s="135"/>
      <c r="E81" s="135"/>
    </row>
    <row r="82">
      <c r="A82" s="5"/>
      <c r="B82" s="135"/>
      <c r="C82" s="135"/>
      <c r="D82" s="135"/>
      <c r="E82" s="135"/>
    </row>
    <row r="83">
      <c r="A83" s="5"/>
      <c r="B83" s="135"/>
      <c r="C83" s="135"/>
      <c r="D83" s="135"/>
      <c r="E83" s="135"/>
    </row>
    <row r="84">
      <c r="A84" s="5"/>
      <c r="B84" s="135"/>
      <c r="C84" s="135"/>
      <c r="D84" s="135"/>
      <c r="E84" s="135"/>
    </row>
    <row r="85">
      <c r="A85" s="5"/>
      <c r="B85" s="135"/>
      <c r="C85" s="135"/>
      <c r="D85" s="135"/>
      <c r="E85" s="135"/>
    </row>
    <row r="86">
      <c r="A86" s="5"/>
      <c r="B86" s="135"/>
      <c r="C86" s="135"/>
      <c r="D86" s="135"/>
      <c r="E86" s="135"/>
    </row>
    <row r="87">
      <c r="A87" s="5"/>
      <c r="B87" s="135"/>
      <c r="C87" s="135"/>
      <c r="D87" s="135"/>
      <c r="E87" s="135"/>
    </row>
    <row r="88">
      <c r="A88" s="5"/>
      <c r="B88" s="135"/>
      <c r="C88" s="135"/>
      <c r="D88" s="135"/>
      <c r="E88" s="135"/>
    </row>
    <row r="89">
      <c r="A89" s="5"/>
      <c r="B89" s="135"/>
      <c r="C89" s="135"/>
      <c r="D89" s="135"/>
      <c r="E89" s="135"/>
    </row>
    <row r="90">
      <c r="A90" s="5"/>
      <c r="B90" s="135"/>
      <c r="C90" s="135"/>
      <c r="D90" s="135"/>
      <c r="E90" s="135"/>
    </row>
    <row r="91">
      <c r="A91" s="5"/>
      <c r="B91" s="135"/>
      <c r="C91" s="135"/>
      <c r="D91" s="135"/>
      <c r="E91" s="135"/>
    </row>
    <row r="92">
      <c r="A92" s="5"/>
      <c r="B92" s="135"/>
      <c r="C92" s="135"/>
      <c r="D92" s="135"/>
      <c r="E92" s="135"/>
    </row>
    <row r="93">
      <c r="A93" s="5"/>
      <c r="B93" s="135"/>
      <c r="C93" s="135"/>
      <c r="D93" s="135"/>
      <c r="E93" s="135"/>
    </row>
    <row r="94">
      <c r="A94" s="5"/>
      <c r="B94" s="135"/>
      <c r="C94" s="135"/>
      <c r="D94" s="135"/>
      <c r="E94" s="135"/>
    </row>
    <row r="95">
      <c r="B95" s="135"/>
      <c r="C95" s="135"/>
      <c r="D95" s="135"/>
      <c r="E95" s="135"/>
    </row>
    <row r="96">
      <c r="B96" s="135"/>
      <c r="C96" s="135"/>
      <c r="D96" s="135"/>
      <c r="E96" s="135"/>
    </row>
    <row r="97">
      <c r="B97" s="135"/>
      <c r="C97" s="135"/>
      <c r="D97" s="135"/>
      <c r="E97" s="135"/>
    </row>
    <row r="98">
      <c r="B98" s="135"/>
      <c r="C98" s="135"/>
      <c r="D98" s="135"/>
      <c r="E98" s="135"/>
    </row>
    <row r="99">
      <c r="B99" s="135"/>
      <c r="C99" s="135"/>
      <c r="D99" s="135"/>
      <c r="E99" s="135"/>
    </row>
    <row r="100">
      <c r="B100" s="135"/>
      <c r="C100" s="135"/>
      <c r="D100" s="135"/>
      <c r="E100" s="135"/>
    </row>
    <row r="101">
      <c r="A101" s="135"/>
      <c r="B101" s="135"/>
      <c r="C101" s="135"/>
      <c r="D101" s="135"/>
      <c r="E101" s="135"/>
    </row>
    <row r="102">
      <c r="A102" s="135"/>
      <c r="B102" s="135"/>
      <c r="C102" s="135"/>
      <c r="D102" s="135"/>
      <c r="E102" s="135"/>
    </row>
  </sheetData>
  <sheetProtection password="DD1C" autoFilter="1" deleteColumns="1" deleteRows="1" formatCells="1" formatColumns="1" formatRows="1" insertColumns="1" insertHyperlinks="1" insertRows="1" objects="1" pivotTables="1" scenarios="1" selectLockedCells="0"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1">
    <tabColor rgb="FF0070C0"/>
    <outlinePr applyStyles="0" summaryBelow="1" summaryRight="1" showOutlineSymbols="1"/>
    <pageSetUpPr autoPageBreaks="1" fitToPage="0"/>
  </sheetPr>
  <sheetViews>
    <sheetView zoomScale="70" workbookViewId="0">
      <pane ySplit="4" topLeftCell="A5" activePane="bottomLeft" state="frozen"/>
      <selection activeCell="F140" activeCellId="0" sqref="F140"/>
    </sheetView>
  </sheetViews>
  <sheetFormatPr defaultRowHeight="15"/>
  <cols>
    <col customWidth="1" min="1" max="6" width="18.7109375"/>
    <col customWidth="1" min="257" max="262" width="18.7109375"/>
    <col customWidth="1" min="513" max="518" width="18.7109375"/>
    <col customWidth="1" min="769" max="774" width="18.7109375"/>
    <col customWidth="1" min="1025" max="1030" width="18.7109375"/>
    <col customWidth="1" min="1281" max="1286" width="18.7109375"/>
    <col customWidth="1" min="1537" max="1542" width="18.7109375"/>
    <col customWidth="1" min="1793" max="1798" width="18.7109375"/>
    <col customWidth="1" min="2049" max="2054" width="18.7109375"/>
    <col customWidth="1" min="2305" max="2310" width="18.7109375"/>
    <col customWidth="1" min="2561" max="2566" width="18.7109375"/>
    <col customWidth="1" min="2817" max="2822" width="18.7109375"/>
    <col customWidth="1" min="3073" max="3078" width="18.7109375"/>
    <col customWidth="1" min="3329" max="3334" width="18.7109375"/>
    <col customWidth="1" min="3585" max="3590" width="18.7109375"/>
    <col customWidth="1" min="3841" max="3846" width="18.7109375"/>
    <col customWidth="1" min="4097" max="4102" width="18.7109375"/>
    <col customWidth="1" min="4353" max="4358" width="18.7109375"/>
    <col customWidth="1" min="4609" max="4614" width="18.7109375"/>
    <col customWidth="1" min="4865" max="4870" width="18.7109375"/>
    <col customWidth="1" min="5121" max="5126" width="18.7109375"/>
    <col customWidth="1" min="5377" max="5382" width="18.7109375"/>
    <col customWidth="1" min="5633" max="5638" width="18.7109375"/>
    <col customWidth="1" min="5889" max="5894" width="18.7109375"/>
    <col customWidth="1" min="6145" max="6150" width="18.7109375"/>
    <col customWidth="1" min="6401" max="6406" width="18.7109375"/>
    <col customWidth="1" min="6657" max="6662" width="18.7109375"/>
    <col customWidth="1" min="6913" max="6918" width="18.7109375"/>
    <col customWidth="1" min="7169" max="7174" width="18.7109375"/>
    <col customWidth="1" min="7425" max="7430" width="18.7109375"/>
    <col customWidth="1" min="7681" max="7686" width="18.7109375"/>
    <col customWidth="1" min="7937" max="7942" width="18.7109375"/>
    <col customWidth="1" min="8193" max="8198" width="18.7109375"/>
    <col customWidth="1" min="8449" max="8454" width="18.7109375"/>
    <col customWidth="1" min="8705" max="8710" width="18.7109375"/>
    <col customWidth="1" min="8961" max="8966" width="18.7109375"/>
    <col customWidth="1" min="9217" max="9222" width="18.7109375"/>
    <col customWidth="1" min="9473" max="9478" width="18.7109375"/>
    <col customWidth="1" min="9729" max="9734" width="18.7109375"/>
    <col customWidth="1" min="9985" max="9990" width="18.7109375"/>
    <col customWidth="1" min="10241" max="10246" width="18.7109375"/>
    <col customWidth="1" min="10497" max="10502" width="18.7109375"/>
    <col customWidth="1" min="10753" max="10758" width="18.7109375"/>
    <col customWidth="1" min="11009" max="11014" width="18.7109375"/>
    <col customWidth="1" min="11265" max="11270" width="18.7109375"/>
    <col customWidth="1" min="11521" max="11526" width="18.7109375"/>
    <col customWidth="1" min="11777" max="11782" width="18.7109375"/>
    <col customWidth="1" min="12033" max="12038" width="18.7109375"/>
    <col customWidth="1" min="12289" max="12294" width="18.7109375"/>
    <col customWidth="1" min="12545" max="12550" width="18.7109375"/>
    <col customWidth="1" min="12801" max="12806" width="18.7109375"/>
    <col customWidth="1" min="13057" max="13062" width="18.7109375"/>
    <col customWidth="1" min="13313" max="13318" width="18.7109375"/>
    <col customWidth="1" min="13569" max="13574" width="18.7109375"/>
    <col customWidth="1" min="13825" max="13830" width="18.7109375"/>
    <col customWidth="1" min="14081" max="14086" width="18.7109375"/>
    <col customWidth="1" min="14337" max="14342" width="18.7109375"/>
    <col customWidth="1" min="14593" max="14598" width="18.7109375"/>
    <col customWidth="1" min="14849" max="14854" width="18.7109375"/>
    <col customWidth="1" min="15105" max="15110" width="18.7109375"/>
    <col customWidth="1" min="15361" max="15366" width="18.7109375"/>
    <col customWidth="1" min="15617" max="15622" width="18.7109375"/>
    <col customWidth="1" min="15873" max="15878" width="18.7109375"/>
    <col customWidth="1" min="16129" max="16134" width="18.7109375"/>
  </cols>
  <sheetData>
    <row r="1" ht="21">
      <c r="A1" s="150" t="s">
        <v>222</v>
      </c>
      <c r="B1" s="150"/>
      <c r="C1" s="150"/>
      <c r="D1" s="150"/>
      <c r="E1" s="150"/>
      <c r="F1" s="150"/>
    </row>
    <row r="3">
      <c r="A3" s="151">
        <v>0.20000000000000001</v>
      </c>
      <c r="B3" s="151">
        <v>0.10000000000000001</v>
      </c>
      <c r="C3" s="151">
        <v>0.050000000000000003</v>
      </c>
      <c r="D3" s="151">
        <v>0.02</v>
      </c>
      <c r="E3" s="151">
        <v>0.01</v>
      </c>
      <c r="F3" s="148" t="s">
        <v>223</v>
      </c>
    </row>
    <row r="4">
      <c r="A4" s="152" t="s">
        <v>224</v>
      </c>
      <c r="B4" s="152" t="s">
        <v>225</v>
      </c>
      <c r="C4" s="152" t="s">
        <v>226</v>
      </c>
      <c r="D4" s="152" t="s">
        <v>227</v>
      </c>
      <c r="E4" s="152" t="s">
        <v>228</v>
      </c>
      <c r="F4" s="152" t="s">
        <v>229</v>
      </c>
    </row>
    <row r="5">
      <c r="A5" s="153">
        <v>100</v>
      </c>
      <c r="B5" s="154">
        <v>100</v>
      </c>
      <c r="C5" s="155">
        <v>100</v>
      </c>
      <c r="D5" s="156">
        <v>100</v>
      </c>
      <c r="E5" s="157">
        <v>100</v>
      </c>
      <c r="F5" s="158">
        <v>100</v>
      </c>
    </row>
    <row r="6">
      <c r="A6" s="153"/>
      <c r="B6" s="154"/>
      <c r="C6" s="155"/>
      <c r="D6" s="156"/>
      <c r="E6" s="157"/>
      <c r="F6" s="158">
        <v>101</v>
      </c>
    </row>
    <row r="7">
      <c r="A7" s="153"/>
      <c r="B7" s="154"/>
      <c r="C7" s="155"/>
      <c r="D7" s="156"/>
      <c r="E7" s="157">
        <v>102</v>
      </c>
      <c r="F7" s="158">
        <v>102</v>
      </c>
    </row>
    <row r="8">
      <c r="A8" s="153"/>
      <c r="B8" s="154"/>
      <c r="C8" s="155"/>
      <c r="D8" s="156"/>
      <c r="E8" s="157"/>
      <c r="F8" s="158">
        <v>104</v>
      </c>
    </row>
    <row r="9">
      <c r="A9" s="153"/>
      <c r="B9" s="154"/>
      <c r="C9" s="155"/>
      <c r="D9" s="156">
        <v>105</v>
      </c>
      <c r="E9" s="157">
        <v>105</v>
      </c>
      <c r="F9" s="158">
        <v>105</v>
      </c>
    </row>
    <row r="10">
      <c r="A10" s="153"/>
      <c r="B10" s="154"/>
      <c r="C10" s="155"/>
      <c r="D10" s="156"/>
      <c r="E10" s="157"/>
      <c r="F10" s="158">
        <v>106</v>
      </c>
      <c r="I10" s="159"/>
    </row>
    <row r="11">
      <c r="A11" s="153"/>
      <c r="B11" s="154"/>
      <c r="C11" s="155"/>
      <c r="D11" s="156"/>
      <c r="E11" s="157">
        <v>107</v>
      </c>
      <c r="F11" s="158">
        <v>107</v>
      </c>
    </row>
    <row r="12">
      <c r="A12" s="153"/>
      <c r="B12" s="154"/>
      <c r="C12" s="155"/>
      <c r="D12" s="156"/>
      <c r="E12" s="157"/>
      <c r="F12" s="158">
        <v>109</v>
      </c>
    </row>
    <row r="13">
      <c r="A13" s="153"/>
      <c r="B13" s="154"/>
      <c r="C13" s="155">
        <v>110</v>
      </c>
      <c r="D13" s="156">
        <v>110</v>
      </c>
      <c r="E13" s="157">
        <v>110</v>
      </c>
      <c r="F13" s="158">
        <v>110</v>
      </c>
    </row>
    <row r="14">
      <c r="A14" s="153"/>
      <c r="B14" s="154"/>
      <c r="C14" s="155"/>
      <c r="D14" s="156"/>
      <c r="E14" s="157"/>
      <c r="F14" s="158">
        <v>111</v>
      </c>
    </row>
    <row r="15">
      <c r="A15" s="153"/>
      <c r="B15" s="154"/>
      <c r="C15" s="155"/>
      <c r="D15" s="156"/>
      <c r="E15" s="157">
        <v>113</v>
      </c>
      <c r="F15" s="158">
        <v>113</v>
      </c>
    </row>
    <row r="16">
      <c r="A16" s="153"/>
      <c r="B16" s="154"/>
      <c r="C16" s="155"/>
      <c r="D16" s="156"/>
      <c r="E16" s="157"/>
      <c r="F16" s="158">
        <v>114</v>
      </c>
    </row>
    <row r="17">
      <c r="A17" s="153"/>
      <c r="B17" s="154"/>
      <c r="C17" s="155"/>
      <c r="D17" s="156">
        <v>115</v>
      </c>
      <c r="E17" s="157">
        <v>115</v>
      </c>
      <c r="F17" s="158">
        <v>115</v>
      </c>
    </row>
    <row r="18">
      <c r="A18" s="153"/>
      <c r="B18" s="154"/>
      <c r="C18" s="155"/>
      <c r="D18" s="156"/>
      <c r="E18" s="157"/>
      <c r="F18" s="158">
        <v>117</v>
      </c>
    </row>
    <row r="19">
      <c r="A19" s="153"/>
      <c r="B19" s="154"/>
      <c r="C19" s="155"/>
      <c r="D19" s="156"/>
      <c r="E19" s="157">
        <v>118</v>
      </c>
      <c r="F19" s="158">
        <v>118</v>
      </c>
    </row>
    <row r="20">
      <c r="A20" s="153"/>
      <c r="B20" s="154"/>
      <c r="C20" s="155"/>
      <c r="D20" s="156"/>
      <c r="E20" s="157"/>
      <c r="F20" s="158">
        <v>120</v>
      </c>
    </row>
    <row r="21">
      <c r="A21" s="153"/>
      <c r="B21" s="154">
        <v>120</v>
      </c>
      <c r="C21" s="155">
        <v>120</v>
      </c>
      <c r="D21" s="156">
        <v>121</v>
      </c>
      <c r="E21" s="157">
        <v>121</v>
      </c>
      <c r="F21" s="158">
        <v>121</v>
      </c>
    </row>
    <row r="22">
      <c r="A22" s="153"/>
      <c r="B22" s="154"/>
      <c r="C22" s="155"/>
      <c r="D22" s="156"/>
      <c r="E22" s="157"/>
      <c r="F22" s="158">
        <v>123</v>
      </c>
    </row>
    <row r="23">
      <c r="A23" s="153"/>
      <c r="B23" s="154"/>
      <c r="C23" s="155"/>
      <c r="D23" s="156"/>
      <c r="E23" s="157">
        <v>124</v>
      </c>
      <c r="F23" s="158">
        <v>124</v>
      </c>
    </row>
    <row r="24">
      <c r="A24" s="153"/>
      <c r="B24" s="154"/>
      <c r="C24" s="155"/>
      <c r="D24" s="156"/>
      <c r="E24" s="157"/>
      <c r="F24" s="158">
        <v>126</v>
      </c>
    </row>
    <row r="25">
      <c r="A25" s="153"/>
      <c r="B25" s="154"/>
      <c r="C25" s="155"/>
      <c r="D25" s="156">
        <v>127</v>
      </c>
      <c r="E25" s="157">
        <v>127</v>
      </c>
      <c r="F25" s="158">
        <v>127</v>
      </c>
    </row>
    <row r="26">
      <c r="A26" s="153"/>
      <c r="B26" s="154"/>
      <c r="C26" s="155"/>
      <c r="D26" s="156"/>
      <c r="E26" s="157"/>
      <c r="F26" s="158">
        <v>129</v>
      </c>
    </row>
    <row r="27">
      <c r="A27" s="153"/>
      <c r="B27" s="154"/>
      <c r="C27" s="155"/>
      <c r="D27" s="156"/>
      <c r="E27" s="157">
        <v>130</v>
      </c>
      <c r="F27" s="158">
        <v>130</v>
      </c>
    </row>
    <row r="28">
      <c r="A28" s="153"/>
      <c r="B28" s="154"/>
      <c r="C28" s="155"/>
      <c r="D28" s="156"/>
      <c r="E28" s="157"/>
      <c r="F28" s="158">
        <v>132</v>
      </c>
    </row>
    <row r="29">
      <c r="A29" s="153"/>
      <c r="B29" s="154"/>
      <c r="C29" s="155">
        <v>130</v>
      </c>
      <c r="D29" s="156">
        <v>133</v>
      </c>
      <c r="E29" s="157">
        <v>133</v>
      </c>
      <c r="F29" s="158">
        <v>133</v>
      </c>
    </row>
    <row r="30">
      <c r="A30" s="153"/>
      <c r="B30" s="154"/>
      <c r="C30" s="155"/>
      <c r="D30" s="156"/>
      <c r="E30" s="157"/>
      <c r="F30" s="158">
        <v>135</v>
      </c>
    </row>
    <row r="31">
      <c r="A31" s="153"/>
      <c r="B31" s="154"/>
      <c r="C31" s="155"/>
      <c r="D31" s="156"/>
      <c r="E31" s="157">
        <v>137</v>
      </c>
      <c r="F31" s="158">
        <v>137</v>
      </c>
    </row>
    <row r="32">
      <c r="A32" s="153"/>
      <c r="B32" s="154"/>
      <c r="C32" s="155"/>
      <c r="D32" s="156"/>
      <c r="E32" s="157"/>
      <c r="F32" s="158">
        <v>138</v>
      </c>
    </row>
    <row r="33">
      <c r="A33" s="153"/>
      <c r="B33" s="154"/>
      <c r="C33" s="155"/>
      <c r="D33" s="156">
        <v>140</v>
      </c>
      <c r="E33" s="157">
        <v>140</v>
      </c>
      <c r="F33" s="158">
        <v>140</v>
      </c>
    </row>
    <row r="34">
      <c r="A34" s="153"/>
      <c r="B34" s="154"/>
      <c r="C34" s="155"/>
      <c r="D34" s="156"/>
      <c r="E34" s="157"/>
      <c r="F34" s="158">
        <v>142</v>
      </c>
    </row>
    <row r="35">
      <c r="A35" s="153"/>
      <c r="B35" s="154"/>
      <c r="C35" s="155"/>
      <c r="D35" s="156"/>
      <c r="E35" s="157">
        <v>143</v>
      </c>
      <c r="F35" s="158">
        <v>143</v>
      </c>
    </row>
    <row r="36">
      <c r="A36" s="153"/>
      <c r="B36" s="154"/>
      <c r="C36" s="155"/>
      <c r="D36" s="156"/>
      <c r="E36" s="157"/>
      <c r="F36" s="158">
        <v>145</v>
      </c>
    </row>
    <row r="37">
      <c r="A37" s="153">
        <v>150</v>
      </c>
      <c r="B37" s="154">
        <v>150</v>
      </c>
      <c r="C37" s="155">
        <v>150</v>
      </c>
      <c r="D37" s="156">
        <v>147</v>
      </c>
      <c r="E37" s="157">
        <v>147</v>
      </c>
      <c r="F37" s="158">
        <v>147</v>
      </c>
    </row>
    <row r="38">
      <c r="A38" s="153"/>
      <c r="B38" s="154"/>
      <c r="C38" s="155"/>
      <c r="D38" s="156"/>
      <c r="E38" s="157"/>
      <c r="F38" s="158">
        <v>149</v>
      </c>
    </row>
    <row r="39">
      <c r="A39" s="153"/>
      <c r="B39" s="154"/>
      <c r="C39" s="155"/>
      <c r="D39" s="156"/>
      <c r="E39" s="157">
        <v>150</v>
      </c>
      <c r="F39" s="158">
        <v>150</v>
      </c>
    </row>
    <row r="40">
      <c r="A40" s="153"/>
      <c r="B40" s="154"/>
      <c r="C40" s="155"/>
      <c r="D40" s="156"/>
      <c r="E40" s="157"/>
      <c r="F40" s="158">
        <v>152</v>
      </c>
    </row>
    <row r="41">
      <c r="A41" s="153"/>
      <c r="B41" s="154"/>
      <c r="C41" s="155"/>
      <c r="D41" s="156">
        <v>154</v>
      </c>
      <c r="E41" s="157">
        <v>154</v>
      </c>
      <c r="F41" s="158">
        <v>154</v>
      </c>
    </row>
    <row r="42">
      <c r="A42" s="153"/>
      <c r="B42" s="154"/>
      <c r="C42" s="155"/>
      <c r="D42" s="156"/>
      <c r="E42" s="157"/>
      <c r="F42" s="158">
        <v>156</v>
      </c>
    </row>
    <row r="43">
      <c r="A43" s="153"/>
      <c r="B43" s="154"/>
      <c r="C43" s="155"/>
      <c r="D43" s="156"/>
      <c r="E43" s="157">
        <v>158</v>
      </c>
      <c r="F43" s="158">
        <v>158</v>
      </c>
    </row>
    <row r="44">
      <c r="A44" s="153"/>
      <c r="B44" s="154"/>
      <c r="C44" s="155"/>
      <c r="D44" s="156"/>
      <c r="E44" s="157"/>
      <c r="F44" s="158">
        <v>160</v>
      </c>
    </row>
    <row r="45">
      <c r="A45" s="153"/>
      <c r="B45" s="154"/>
      <c r="C45" s="155">
        <v>160</v>
      </c>
      <c r="D45" s="156">
        <v>162</v>
      </c>
      <c r="E45" s="157">
        <v>162</v>
      </c>
      <c r="F45" s="158">
        <v>162</v>
      </c>
    </row>
    <row r="46">
      <c r="A46" s="153"/>
      <c r="B46" s="154"/>
      <c r="C46" s="155"/>
      <c r="D46" s="156"/>
      <c r="E46" s="157"/>
      <c r="F46" s="158">
        <v>164</v>
      </c>
    </row>
    <row r="47">
      <c r="A47" s="153"/>
      <c r="B47" s="154"/>
      <c r="C47" s="155"/>
      <c r="D47" s="156"/>
      <c r="E47" s="157">
        <v>165</v>
      </c>
      <c r="F47" s="158">
        <v>165</v>
      </c>
    </row>
    <row r="48">
      <c r="A48" s="153"/>
      <c r="B48" s="154"/>
      <c r="C48" s="155"/>
      <c r="D48" s="156"/>
      <c r="E48" s="157"/>
      <c r="F48" s="158">
        <v>167</v>
      </c>
    </row>
    <row r="49">
      <c r="A49" s="153"/>
      <c r="B49" s="154"/>
      <c r="C49" s="155"/>
      <c r="D49" s="156">
        <v>169</v>
      </c>
      <c r="E49" s="157">
        <v>169</v>
      </c>
      <c r="F49" s="158">
        <v>169</v>
      </c>
    </row>
    <row r="50">
      <c r="A50" s="153"/>
      <c r="B50" s="154"/>
      <c r="C50" s="155"/>
      <c r="D50" s="156"/>
      <c r="E50" s="157"/>
      <c r="F50" s="158">
        <v>172</v>
      </c>
    </row>
    <row r="51">
      <c r="A51" s="153"/>
      <c r="B51" s="154"/>
      <c r="C51" s="155"/>
      <c r="D51" s="156"/>
      <c r="E51" s="157">
        <v>174</v>
      </c>
      <c r="F51" s="158">
        <v>174</v>
      </c>
    </row>
    <row r="52">
      <c r="A52" s="153"/>
      <c r="B52" s="154"/>
      <c r="C52" s="155"/>
      <c r="D52" s="156"/>
      <c r="E52" s="157"/>
      <c r="F52" s="158">
        <v>176</v>
      </c>
    </row>
    <row r="53">
      <c r="A53" s="153"/>
      <c r="B53" s="154">
        <v>180</v>
      </c>
      <c r="C53" s="155">
        <v>180</v>
      </c>
      <c r="D53" s="156">
        <v>178</v>
      </c>
      <c r="E53" s="157">
        <v>178</v>
      </c>
      <c r="F53" s="158">
        <v>178</v>
      </c>
    </row>
    <row r="54">
      <c r="A54" s="153"/>
      <c r="B54" s="154"/>
      <c r="C54" s="155"/>
      <c r="D54" s="156"/>
      <c r="E54" s="157"/>
      <c r="F54" s="158">
        <v>180</v>
      </c>
    </row>
    <row r="55">
      <c r="A55" s="153"/>
      <c r="B55" s="154"/>
      <c r="C55" s="155"/>
      <c r="D55" s="156"/>
      <c r="E55" s="157">
        <v>182</v>
      </c>
      <c r="F55" s="158">
        <v>182</v>
      </c>
    </row>
    <row r="56">
      <c r="A56" s="153"/>
      <c r="B56" s="154"/>
      <c r="C56" s="155"/>
      <c r="D56" s="156"/>
      <c r="E56" s="157"/>
      <c r="F56" s="158">
        <v>184</v>
      </c>
    </row>
    <row r="57">
      <c r="A57" s="153"/>
      <c r="B57" s="154"/>
      <c r="C57" s="155"/>
      <c r="D57" s="156">
        <v>187</v>
      </c>
      <c r="E57" s="157">
        <v>187</v>
      </c>
      <c r="F57" s="158">
        <v>187</v>
      </c>
    </row>
    <row r="58">
      <c r="A58" s="153"/>
      <c r="B58" s="154"/>
      <c r="C58" s="155"/>
      <c r="D58" s="156"/>
      <c r="E58" s="157"/>
      <c r="F58" s="158">
        <v>189</v>
      </c>
    </row>
    <row r="59">
      <c r="A59" s="153"/>
      <c r="B59" s="154"/>
      <c r="C59" s="155"/>
      <c r="D59" s="156"/>
      <c r="E59" s="157">
        <v>191</v>
      </c>
      <c r="F59" s="158">
        <v>191</v>
      </c>
    </row>
    <row r="60">
      <c r="A60" s="153"/>
      <c r="B60" s="154"/>
      <c r="C60" s="155"/>
      <c r="D60" s="156"/>
      <c r="E60" s="157"/>
      <c r="F60" s="158">
        <v>193</v>
      </c>
    </row>
    <row r="61">
      <c r="A61" s="153"/>
      <c r="B61" s="154"/>
      <c r="C61" s="155">
        <v>200</v>
      </c>
      <c r="D61" s="156">
        <v>196</v>
      </c>
      <c r="E61" s="157">
        <v>196</v>
      </c>
      <c r="F61" s="158">
        <v>196</v>
      </c>
    </row>
    <row r="62">
      <c r="A62" s="153"/>
      <c r="B62" s="154"/>
      <c r="C62" s="155"/>
      <c r="D62" s="156"/>
      <c r="E62" s="157"/>
      <c r="F62" s="158">
        <v>198</v>
      </c>
    </row>
    <row r="63">
      <c r="A63" s="153"/>
      <c r="B63" s="154"/>
      <c r="C63" s="155"/>
      <c r="D63" s="156"/>
      <c r="E63" s="157">
        <v>200</v>
      </c>
      <c r="F63" s="158">
        <v>200</v>
      </c>
    </row>
    <row r="64">
      <c r="A64" s="153"/>
      <c r="B64" s="154"/>
      <c r="C64" s="155"/>
      <c r="D64" s="156"/>
      <c r="E64" s="157"/>
      <c r="F64" s="158">
        <v>203</v>
      </c>
    </row>
    <row r="65">
      <c r="A65" s="153"/>
      <c r="B65" s="154"/>
      <c r="C65" s="155"/>
      <c r="D65" s="156">
        <v>205</v>
      </c>
      <c r="E65" s="157">
        <v>205</v>
      </c>
      <c r="F65" s="158">
        <v>205</v>
      </c>
    </row>
    <row r="66">
      <c r="A66" s="153"/>
      <c r="B66" s="154"/>
      <c r="C66" s="155"/>
      <c r="D66" s="156"/>
      <c r="E66" s="157"/>
      <c r="F66" s="158">
        <v>208</v>
      </c>
    </row>
    <row r="67">
      <c r="A67" s="153"/>
      <c r="B67" s="154"/>
      <c r="C67" s="155"/>
      <c r="D67" s="156"/>
      <c r="E67" s="157">
        <v>210</v>
      </c>
      <c r="F67" s="158">
        <v>210</v>
      </c>
    </row>
    <row r="68">
      <c r="A68" s="153"/>
      <c r="B68" s="154"/>
      <c r="C68" s="155"/>
      <c r="D68" s="156"/>
      <c r="E68" s="157"/>
      <c r="F68" s="158">
        <v>213</v>
      </c>
    </row>
    <row r="69">
      <c r="A69" s="153">
        <v>220</v>
      </c>
      <c r="B69" s="154">
        <v>220</v>
      </c>
      <c r="C69" s="155">
        <v>220</v>
      </c>
      <c r="D69" s="156">
        <v>215</v>
      </c>
      <c r="E69" s="157">
        <v>215</v>
      </c>
      <c r="F69" s="158">
        <v>215</v>
      </c>
    </row>
    <row r="70">
      <c r="A70" s="153"/>
      <c r="B70" s="154"/>
      <c r="C70" s="155"/>
      <c r="D70" s="156"/>
      <c r="E70" s="157"/>
      <c r="F70" s="158">
        <v>218</v>
      </c>
    </row>
    <row r="71">
      <c r="A71" s="153"/>
      <c r="B71" s="154"/>
      <c r="C71" s="155"/>
      <c r="D71" s="156"/>
      <c r="E71" s="157">
        <v>221</v>
      </c>
      <c r="F71" s="158">
        <v>221</v>
      </c>
    </row>
    <row r="72">
      <c r="A72" s="153"/>
      <c r="B72" s="154"/>
      <c r="C72" s="155"/>
      <c r="D72" s="156"/>
      <c r="E72" s="157"/>
      <c r="F72" s="158">
        <v>223</v>
      </c>
    </row>
    <row r="73">
      <c r="A73" s="153"/>
      <c r="B73" s="154"/>
      <c r="C73" s="155"/>
      <c r="D73" s="156">
        <v>226</v>
      </c>
      <c r="E73" s="157">
        <v>226</v>
      </c>
      <c r="F73" s="158">
        <v>226</v>
      </c>
    </row>
    <row r="74">
      <c r="A74" s="153"/>
      <c r="B74" s="154"/>
      <c r="C74" s="155"/>
      <c r="D74" s="156"/>
      <c r="E74" s="157"/>
      <c r="F74" s="158">
        <v>229</v>
      </c>
    </row>
    <row r="75">
      <c r="A75" s="153"/>
      <c r="B75" s="154"/>
      <c r="C75" s="155"/>
      <c r="D75" s="156"/>
      <c r="E75" s="157">
        <v>232</v>
      </c>
      <c r="F75" s="158">
        <v>232</v>
      </c>
    </row>
    <row r="76">
      <c r="A76" s="153"/>
      <c r="B76" s="154"/>
      <c r="C76" s="155"/>
      <c r="D76" s="156"/>
      <c r="E76" s="157"/>
      <c r="F76" s="158">
        <v>234</v>
      </c>
    </row>
    <row r="77">
      <c r="A77" s="153"/>
      <c r="B77" s="154"/>
      <c r="C77" s="155">
        <v>240</v>
      </c>
      <c r="D77" s="156">
        <v>237</v>
      </c>
      <c r="E77" s="157">
        <v>237</v>
      </c>
      <c r="F77" s="158">
        <v>237</v>
      </c>
    </row>
    <row r="78">
      <c r="A78" s="153"/>
      <c r="B78" s="154"/>
      <c r="C78" s="155"/>
      <c r="D78" s="156"/>
      <c r="E78" s="157"/>
      <c r="F78" s="158">
        <v>240</v>
      </c>
    </row>
    <row r="79">
      <c r="A79" s="153"/>
      <c r="B79" s="154"/>
      <c r="C79" s="155"/>
      <c r="D79" s="156"/>
      <c r="E79" s="157">
        <v>243</v>
      </c>
      <c r="F79" s="158">
        <v>243</v>
      </c>
    </row>
    <row r="80">
      <c r="A80" s="153"/>
      <c r="B80" s="154"/>
      <c r="C80" s="155"/>
      <c r="D80" s="156"/>
      <c r="E80" s="157"/>
      <c r="F80" s="158">
        <v>246</v>
      </c>
    </row>
    <row r="81">
      <c r="A81" s="153"/>
      <c r="B81" s="154"/>
      <c r="C81" s="155"/>
      <c r="D81" s="156">
        <v>249</v>
      </c>
      <c r="E81" s="157">
        <v>249</v>
      </c>
      <c r="F81" s="158">
        <v>249</v>
      </c>
    </row>
    <row r="82">
      <c r="A82" s="153"/>
      <c r="B82" s="154"/>
      <c r="C82" s="155"/>
      <c r="D82" s="156"/>
      <c r="E82" s="157"/>
      <c r="F82" s="158">
        <v>252</v>
      </c>
    </row>
    <row r="83">
      <c r="A83" s="153"/>
      <c r="B83" s="154"/>
      <c r="C83" s="155"/>
      <c r="D83" s="156"/>
      <c r="E83" s="157">
        <v>255</v>
      </c>
      <c r="F83" s="158">
        <v>255</v>
      </c>
    </row>
    <row r="84">
      <c r="A84" s="153"/>
      <c r="B84" s="154"/>
      <c r="C84" s="155"/>
      <c r="D84" s="156"/>
      <c r="E84" s="157"/>
      <c r="F84" s="158">
        <v>258</v>
      </c>
    </row>
    <row r="85">
      <c r="A85" s="153"/>
      <c r="B85" s="154">
        <v>270</v>
      </c>
      <c r="C85" s="155">
        <v>270</v>
      </c>
      <c r="D85" s="156">
        <v>261</v>
      </c>
      <c r="E85" s="157">
        <v>261</v>
      </c>
      <c r="F85" s="158">
        <v>261</v>
      </c>
    </row>
    <row r="86">
      <c r="A86" s="153"/>
      <c r="B86" s="154"/>
      <c r="C86" s="155"/>
      <c r="D86" s="156"/>
      <c r="E86" s="157"/>
      <c r="F86" s="158">
        <v>264</v>
      </c>
    </row>
    <row r="87">
      <c r="A87" s="153"/>
      <c r="B87" s="154"/>
      <c r="C87" s="155"/>
      <c r="D87" s="156"/>
      <c r="E87" s="157">
        <v>267</v>
      </c>
      <c r="F87" s="158">
        <v>267</v>
      </c>
    </row>
    <row r="88">
      <c r="A88" s="153"/>
      <c r="B88" s="154"/>
      <c r="C88" s="155"/>
      <c r="D88" s="156"/>
      <c r="E88" s="157"/>
      <c r="F88" s="158">
        <v>271</v>
      </c>
    </row>
    <row r="89">
      <c r="A89" s="153"/>
      <c r="B89" s="154"/>
      <c r="C89" s="155"/>
      <c r="D89" s="156">
        <v>274</v>
      </c>
      <c r="E89" s="157">
        <v>274</v>
      </c>
      <c r="F89" s="158">
        <v>274</v>
      </c>
    </row>
    <row r="90">
      <c r="A90" s="153"/>
      <c r="B90" s="154"/>
      <c r="C90" s="155"/>
      <c r="D90" s="156"/>
      <c r="E90" s="157"/>
      <c r="F90" s="158">
        <v>277</v>
      </c>
    </row>
    <row r="91">
      <c r="A91" s="153"/>
      <c r="B91" s="154"/>
      <c r="C91" s="155"/>
      <c r="D91" s="156"/>
      <c r="E91" s="157">
        <v>280</v>
      </c>
      <c r="F91" s="158">
        <v>280</v>
      </c>
    </row>
    <row r="92">
      <c r="A92" s="153"/>
      <c r="B92" s="154"/>
      <c r="C92" s="155"/>
      <c r="D92" s="156"/>
      <c r="E92" s="157"/>
      <c r="F92" s="158">
        <v>284</v>
      </c>
    </row>
    <row r="93">
      <c r="A93" s="153"/>
      <c r="B93" s="154"/>
      <c r="C93" s="155">
        <v>300</v>
      </c>
      <c r="D93" s="156">
        <v>287</v>
      </c>
      <c r="E93" s="157">
        <v>287</v>
      </c>
      <c r="F93" s="158">
        <v>287</v>
      </c>
    </row>
    <row r="94">
      <c r="A94" s="153"/>
      <c r="B94" s="154"/>
      <c r="C94" s="155"/>
      <c r="D94" s="156"/>
      <c r="E94" s="157"/>
      <c r="F94" s="158">
        <v>291</v>
      </c>
    </row>
    <row r="95">
      <c r="A95" s="153"/>
      <c r="B95" s="154"/>
      <c r="C95" s="155"/>
      <c r="D95" s="156"/>
      <c r="E95" s="157">
        <v>294</v>
      </c>
      <c r="F95" s="158">
        <v>294</v>
      </c>
    </row>
    <row r="96">
      <c r="A96" s="153"/>
      <c r="B96" s="154"/>
      <c r="C96" s="155"/>
      <c r="D96" s="156"/>
      <c r="E96" s="157"/>
      <c r="F96" s="158">
        <v>298</v>
      </c>
    </row>
    <row r="97">
      <c r="A97" s="153"/>
      <c r="B97" s="154"/>
      <c r="C97" s="155"/>
      <c r="D97" s="156">
        <v>301</v>
      </c>
      <c r="E97" s="157">
        <v>301</v>
      </c>
      <c r="F97" s="158">
        <v>301</v>
      </c>
    </row>
    <row r="98">
      <c r="A98" s="153"/>
      <c r="B98" s="154"/>
      <c r="C98" s="155"/>
      <c r="D98" s="156"/>
      <c r="E98" s="157"/>
      <c r="F98" s="158">
        <v>305</v>
      </c>
    </row>
    <row r="99">
      <c r="A99" s="153"/>
      <c r="B99" s="154"/>
      <c r="C99" s="155"/>
      <c r="D99" s="156"/>
      <c r="E99" s="157">
        <v>309</v>
      </c>
      <c r="F99" s="158">
        <v>309</v>
      </c>
    </row>
    <row r="100">
      <c r="A100" s="153"/>
      <c r="B100" s="154"/>
      <c r="C100" s="155"/>
      <c r="D100" s="156"/>
      <c r="E100" s="157"/>
      <c r="F100" s="158">
        <v>312</v>
      </c>
    </row>
    <row r="101">
      <c r="A101" s="153">
        <v>330</v>
      </c>
      <c r="B101" s="154">
        <v>330</v>
      </c>
      <c r="C101" s="155">
        <v>330</v>
      </c>
      <c r="D101" s="156">
        <v>316</v>
      </c>
      <c r="E101" s="157">
        <v>316</v>
      </c>
      <c r="F101" s="158">
        <v>316</v>
      </c>
    </row>
    <row r="102">
      <c r="A102" s="153"/>
      <c r="B102" s="154"/>
      <c r="C102" s="155"/>
      <c r="D102" s="156"/>
      <c r="E102" s="157"/>
      <c r="F102" s="158">
        <v>320</v>
      </c>
    </row>
    <row r="103">
      <c r="A103" s="153"/>
      <c r="B103" s="154"/>
      <c r="C103" s="155"/>
      <c r="D103" s="156"/>
      <c r="E103" s="157">
        <v>324</v>
      </c>
      <c r="F103" s="158">
        <v>324</v>
      </c>
    </row>
    <row r="104">
      <c r="A104" s="153"/>
      <c r="B104" s="154"/>
      <c r="C104" s="155"/>
      <c r="D104" s="156"/>
      <c r="E104" s="157"/>
      <c r="F104" s="158">
        <v>328</v>
      </c>
    </row>
    <row r="105">
      <c r="A105" s="153"/>
      <c r="B105" s="154"/>
      <c r="C105" s="155"/>
      <c r="D105" s="156">
        <v>332</v>
      </c>
      <c r="E105" s="157">
        <v>332</v>
      </c>
      <c r="F105" s="158">
        <v>332</v>
      </c>
    </row>
    <row r="106">
      <c r="A106" s="153"/>
      <c r="B106" s="154"/>
      <c r="C106" s="155"/>
      <c r="D106" s="156"/>
      <c r="E106" s="157"/>
      <c r="F106" s="158">
        <v>336</v>
      </c>
    </row>
    <row r="107">
      <c r="A107" s="153"/>
      <c r="B107" s="154"/>
      <c r="C107" s="155"/>
      <c r="D107" s="156"/>
      <c r="E107" s="157">
        <v>340</v>
      </c>
      <c r="F107" s="158">
        <v>340</v>
      </c>
    </row>
    <row r="108">
      <c r="A108" s="153"/>
      <c r="B108" s="154"/>
      <c r="C108" s="155"/>
      <c r="D108" s="156"/>
      <c r="E108" s="157"/>
      <c r="F108" s="158">
        <v>344</v>
      </c>
    </row>
    <row r="109">
      <c r="A109" s="153"/>
      <c r="B109" s="154"/>
      <c r="C109" s="155">
        <v>360</v>
      </c>
      <c r="D109" s="156">
        <v>348</v>
      </c>
      <c r="E109" s="157">
        <v>348</v>
      </c>
      <c r="F109" s="158">
        <v>348</v>
      </c>
    </row>
    <row r="110">
      <c r="A110" s="153"/>
      <c r="B110" s="154"/>
      <c r="C110" s="155"/>
      <c r="D110" s="156"/>
      <c r="E110" s="157"/>
      <c r="F110" s="158">
        <v>352</v>
      </c>
    </row>
    <row r="111">
      <c r="A111" s="153"/>
      <c r="B111" s="154"/>
      <c r="C111" s="155"/>
      <c r="D111" s="156"/>
      <c r="E111" s="157">
        <v>357</v>
      </c>
      <c r="F111" s="158">
        <v>357</v>
      </c>
    </row>
    <row r="112">
      <c r="A112" s="153"/>
      <c r="B112" s="154"/>
      <c r="C112" s="155"/>
      <c r="D112" s="156"/>
      <c r="E112" s="157"/>
      <c r="F112" s="158">
        <v>361</v>
      </c>
    </row>
    <row r="113">
      <c r="A113" s="153"/>
      <c r="B113" s="154"/>
      <c r="C113" s="155"/>
      <c r="D113" s="156">
        <v>365</v>
      </c>
      <c r="E113" s="157">
        <v>365</v>
      </c>
      <c r="F113" s="158">
        <v>365</v>
      </c>
    </row>
    <row r="114">
      <c r="A114" s="153"/>
      <c r="B114" s="154"/>
      <c r="C114" s="155"/>
      <c r="D114" s="156"/>
      <c r="E114" s="157"/>
      <c r="F114" s="158">
        <v>370</v>
      </c>
    </row>
    <row r="115">
      <c r="A115" s="153"/>
      <c r="B115" s="154"/>
      <c r="C115" s="155"/>
      <c r="D115" s="156"/>
      <c r="E115" s="157">
        <v>374</v>
      </c>
      <c r="F115" s="158">
        <v>374</v>
      </c>
    </row>
    <row r="116">
      <c r="A116" s="153"/>
      <c r="B116" s="154"/>
      <c r="C116" s="155"/>
      <c r="D116" s="156"/>
      <c r="E116" s="157"/>
      <c r="F116" s="158">
        <v>379</v>
      </c>
    </row>
    <row r="117">
      <c r="A117" s="153"/>
      <c r="B117" s="154">
        <v>390</v>
      </c>
      <c r="C117" s="155">
        <v>390</v>
      </c>
      <c r="D117" s="156">
        <v>383</v>
      </c>
      <c r="E117" s="157">
        <v>383</v>
      </c>
      <c r="F117" s="158">
        <v>383</v>
      </c>
    </row>
    <row r="118">
      <c r="A118" s="153"/>
      <c r="B118" s="154"/>
      <c r="C118" s="155"/>
      <c r="D118" s="156"/>
      <c r="E118" s="157"/>
      <c r="F118" s="158">
        <v>388</v>
      </c>
    </row>
    <row r="119">
      <c r="A119" s="153"/>
      <c r="B119" s="154"/>
      <c r="C119" s="155"/>
      <c r="D119" s="156"/>
      <c r="E119" s="157">
        <v>392</v>
      </c>
      <c r="F119" s="158">
        <v>392</v>
      </c>
    </row>
    <row r="120">
      <c r="A120" s="153"/>
      <c r="B120" s="154"/>
      <c r="C120" s="155"/>
      <c r="D120" s="156"/>
      <c r="E120" s="157"/>
      <c r="F120" s="158">
        <v>397</v>
      </c>
    </row>
    <row r="121">
      <c r="A121" s="153"/>
      <c r="B121" s="154"/>
      <c r="C121" s="155"/>
      <c r="D121" s="156">
        <v>402</v>
      </c>
      <c r="E121" s="157">
        <v>402</v>
      </c>
      <c r="F121" s="158">
        <v>402</v>
      </c>
    </row>
    <row r="122">
      <c r="A122" s="153"/>
      <c r="B122" s="154"/>
      <c r="C122" s="155"/>
      <c r="D122" s="156"/>
      <c r="E122" s="157"/>
      <c r="F122" s="158">
        <v>407</v>
      </c>
    </row>
    <row r="123">
      <c r="A123" s="153"/>
      <c r="B123" s="154"/>
      <c r="C123" s="155"/>
      <c r="D123" s="156"/>
      <c r="E123" s="157">
        <v>412</v>
      </c>
      <c r="F123" s="158">
        <v>412</v>
      </c>
    </row>
    <row r="124">
      <c r="A124" s="153"/>
      <c r="B124" s="154"/>
      <c r="C124" s="155"/>
      <c r="D124" s="156"/>
      <c r="E124" s="157"/>
      <c r="F124" s="158">
        <v>417</v>
      </c>
    </row>
    <row r="125">
      <c r="A125" s="153"/>
      <c r="B125" s="154"/>
      <c r="C125" s="155">
        <v>430</v>
      </c>
      <c r="D125" s="156">
        <v>422</v>
      </c>
      <c r="E125" s="157">
        <v>422</v>
      </c>
      <c r="F125" s="158">
        <v>422</v>
      </c>
    </row>
    <row r="126">
      <c r="A126" s="153"/>
      <c r="B126" s="154"/>
      <c r="C126" s="155"/>
      <c r="D126" s="156"/>
      <c r="E126" s="157"/>
      <c r="F126" s="158">
        <v>427</v>
      </c>
    </row>
    <row r="127">
      <c r="A127" s="153"/>
      <c r="B127" s="154"/>
      <c r="C127" s="155"/>
      <c r="D127" s="156"/>
      <c r="E127" s="157">
        <v>432</v>
      </c>
      <c r="F127" s="158">
        <v>432</v>
      </c>
    </row>
    <row r="128">
      <c r="A128" s="153"/>
      <c r="B128" s="154"/>
      <c r="C128" s="155"/>
      <c r="D128" s="156"/>
      <c r="E128" s="157"/>
      <c r="F128" s="158">
        <v>437</v>
      </c>
    </row>
    <row r="129">
      <c r="A129" s="153"/>
      <c r="B129" s="154"/>
      <c r="C129" s="155"/>
      <c r="D129" s="156">
        <v>442</v>
      </c>
      <c r="E129" s="157">
        <v>442</v>
      </c>
      <c r="F129" s="158">
        <v>442</v>
      </c>
    </row>
    <row r="130">
      <c r="A130" s="153"/>
      <c r="B130" s="154"/>
      <c r="C130" s="155"/>
      <c r="D130" s="156"/>
      <c r="E130" s="157"/>
      <c r="F130" s="158">
        <v>448</v>
      </c>
    </row>
    <row r="131">
      <c r="A131" s="153"/>
      <c r="B131" s="154"/>
      <c r="C131" s="155"/>
      <c r="D131" s="156"/>
      <c r="E131" s="157">
        <v>453</v>
      </c>
      <c r="F131" s="158">
        <v>453</v>
      </c>
    </row>
    <row r="132">
      <c r="A132" s="153"/>
      <c r="B132" s="154"/>
      <c r="C132" s="155"/>
      <c r="D132" s="156"/>
      <c r="E132" s="157"/>
      <c r="F132" s="158">
        <v>459</v>
      </c>
    </row>
    <row r="133">
      <c r="A133" s="153">
        <v>470</v>
      </c>
      <c r="B133" s="154">
        <v>470</v>
      </c>
      <c r="C133" s="155">
        <v>470</v>
      </c>
      <c r="D133" s="156">
        <v>464</v>
      </c>
      <c r="E133" s="157">
        <v>464</v>
      </c>
      <c r="F133" s="158">
        <v>464</v>
      </c>
    </row>
    <row r="134">
      <c r="A134" s="153"/>
      <c r="B134" s="154"/>
      <c r="C134" s="155"/>
      <c r="D134" s="156"/>
      <c r="E134" s="157"/>
      <c r="F134" s="158">
        <v>470</v>
      </c>
    </row>
    <row r="135">
      <c r="A135" s="153"/>
      <c r="B135" s="154"/>
      <c r="C135" s="155"/>
      <c r="D135" s="156"/>
      <c r="E135" s="157">
        <v>475</v>
      </c>
      <c r="F135" s="158">
        <v>475</v>
      </c>
    </row>
    <row r="136">
      <c r="A136" s="153"/>
      <c r="B136" s="154"/>
      <c r="C136" s="155"/>
      <c r="D136" s="156"/>
      <c r="E136" s="157"/>
      <c r="F136" s="158">
        <v>481</v>
      </c>
    </row>
    <row r="137">
      <c r="A137" s="153"/>
      <c r="B137" s="154"/>
      <c r="C137" s="155"/>
      <c r="D137" s="156">
        <v>487</v>
      </c>
      <c r="E137" s="157">
        <v>487</v>
      </c>
      <c r="F137" s="158">
        <v>487</v>
      </c>
    </row>
    <row r="138">
      <c r="A138" s="153"/>
      <c r="B138" s="154"/>
      <c r="C138" s="155"/>
      <c r="D138" s="156"/>
      <c r="E138" s="157"/>
      <c r="F138" s="158">
        <v>493</v>
      </c>
    </row>
    <row r="139">
      <c r="A139" s="153"/>
      <c r="B139" s="154"/>
      <c r="C139" s="155"/>
      <c r="D139" s="156"/>
      <c r="E139" s="157">
        <v>499</v>
      </c>
      <c r="F139" s="158">
        <v>499</v>
      </c>
    </row>
    <row r="140">
      <c r="A140" s="153"/>
      <c r="B140" s="154"/>
      <c r="C140" s="155"/>
      <c r="D140" s="156"/>
      <c r="E140" s="157"/>
      <c r="F140" s="158">
        <v>505</v>
      </c>
    </row>
    <row r="141">
      <c r="A141" s="153"/>
      <c r="B141" s="154"/>
      <c r="C141" s="155">
        <v>510</v>
      </c>
      <c r="D141" s="156">
        <v>511</v>
      </c>
      <c r="E141" s="157">
        <v>511</v>
      </c>
      <c r="F141" s="158">
        <v>511</v>
      </c>
    </row>
    <row r="142">
      <c r="A142" s="153"/>
      <c r="B142" s="154"/>
      <c r="C142" s="155"/>
      <c r="D142" s="156"/>
      <c r="E142" s="157"/>
      <c r="F142" s="158">
        <v>517</v>
      </c>
    </row>
    <row r="143">
      <c r="A143" s="153"/>
      <c r="B143" s="154"/>
      <c r="C143" s="155"/>
      <c r="D143" s="156"/>
      <c r="E143" s="157">
        <v>523</v>
      </c>
      <c r="F143" s="158">
        <v>523</v>
      </c>
    </row>
    <row r="144">
      <c r="A144" s="153"/>
      <c r="B144" s="154"/>
      <c r="C144" s="155"/>
      <c r="D144" s="156"/>
      <c r="E144" s="157"/>
      <c r="F144" s="158">
        <v>530</v>
      </c>
    </row>
    <row r="145">
      <c r="A145" s="153"/>
      <c r="B145" s="154"/>
      <c r="C145" s="155"/>
      <c r="D145" s="156">
        <v>536</v>
      </c>
      <c r="E145" s="157">
        <v>536</v>
      </c>
      <c r="F145" s="158">
        <v>536</v>
      </c>
    </row>
    <row r="146">
      <c r="A146" s="153"/>
      <c r="B146" s="154"/>
      <c r="C146" s="155"/>
      <c r="D146" s="156"/>
      <c r="E146" s="157"/>
      <c r="F146" s="158">
        <v>542</v>
      </c>
    </row>
    <row r="147">
      <c r="A147" s="153"/>
      <c r="B147" s="154"/>
      <c r="C147" s="155"/>
      <c r="D147" s="156"/>
      <c r="E147" s="157">
        <v>549</v>
      </c>
      <c r="F147" s="158">
        <v>549</v>
      </c>
    </row>
    <row r="148">
      <c r="A148" s="153"/>
      <c r="B148" s="154"/>
      <c r="C148" s="155"/>
      <c r="D148" s="156"/>
      <c r="E148" s="157"/>
      <c r="F148" s="158">
        <v>556</v>
      </c>
    </row>
    <row r="149">
      <c r="A149" s="153"/>
      <c r="B149" s="154">
        <v>560</v>
      </c>
      <c r="C149" s="155">
        <v>560</v>
      </c>
      <c r="D149" s="156">
        <v>562</v>
      </c>
      <c r="E149" s="157">
        <v>562</v>
      </c>
      <c r="F149" s="158">
        <v>562</v>
      </c>
    </row>
    <row r="150">
      <c r="A150" s="153"/>
      <c r="B150" s="154"/>
      <c r="C150" s="155"/>
      <c r="D150" s="156"/>
      <c r="E150" s="157"/>
      <c r="F150" s="158">
        <v>569</v>
      </c>
    </row>
    <row r="151">
      <c r="A151" s="153"/>
      <c r="B151" s="154"/>
      <c r="C151" s="155"/>
      <c r="D151" s="156"/>
      <c r="E151" s="157">
        <v>576</v>
      </c>
      <c r="F151" s="158">
        <v>576</v>
      </c>
    </row>
    <row r="152">
      <c r="A152" s="153"/>
      <c r="B152" s="154"/>
      <c r="C152" s="155"/>
      <c r="D152" s="156"/>
      <c r="E152" s="157"/>
      <c r="F152" s="158">
        <v>583</v>
      </c>
    </row>
    <row r="153">
      <c r="A153" s="153"/>
      <c r="B153" s="154"/>
      <c r="C153" s="155"/>
      <c r="D153" s="156">
        <v>590</v>
      </c>
      <c r="E153" s="157">
        <v>590</v>
      </c>
      <c r="F153" s="158">
        <v>590</v>
      </c>
    </row>
    <row r="154">
      <c r="A154" s="153"/>
      <c r="B154" s="154"/>
      <c r="C154" s="155"/>
      <c r="D154" s="156"/>
      <c r="E154" s="157"/>
      <c r="F154" s="158">
        <v>597</v>
      </c>
    </row>
    <row r="155">
      <c r="A155" s="153"/>
      <c r="B155" s="154"/>
      <c r="C155" s="155"/>
      <c r="D155" s="156"/>
      <c r="E155" s="157">
        <v>604</v>
      </c>
      <c r="F155" s="158">
        <v>604</v>
      </c>
    </row>
    <row r="156">
      <c r="A156" s="153"/>
      <c r="B156" s="154"/>
      <c r="C156" s="155"/>
      <c r="D156" s="156"/>
      <c r="E156" s="157"/>
      <c r="F156" s="158">
        <v>612</v>
      </c>
    </row>
    <row r="157">
      <c r="A157" s="153"/>
      <c r="B157" s="154"/>
      <c r="C157" s="155">
        <v>620</v>
      </c>
      <c r="D157" s="156">
        <v>619</v>
      </c>
      <c r="E157" s="157">
        <v>619</v>
      </c>
      <c r="F157" s="158">
        <v>619</v>
      </c>
    </row>
    <row r="158">
      <c r="A158" s="153"/>
      <c r="B158" s="154"/>
      <c r="C158" s="155"/>
      <c r="D158" s="156"/>
      <c r="E158" s="157"/>
      <c r="F158" s="158">
        <v>626</v>
      </c>
    </row>
    <row r="159">
      <c r="A159" s="153"/>
      <c r="B159" s="154"/>
      <c r="C159" s="155"/>
      <c r="D159" s="156"/>
      <c r="E159" s="157">
        <v>634</v>
      </c>
      <c r="F159" s="158">
        <v>634</v>
      </c>
    </row>
    <row r="160">
      <c r="A160" s="153"/>
      <c r="B160" s="154"/>
      <c r="C160" s="155"/>
      <c r="D160" s="156"/>
      <c r="E160" s="157"/>
      <c r="F160" s="158">
        <v>642</v>
      </c>
    </row>
    <row r="161">
      <c r="A161" s="153"/>
      <c r="B161" s="154"/>
      <c r="C161" s="155"/>
      <c r="D161" s="156">
        <v>649</v>
      </c>
      <c r="E161" s="157">
        <v>649</v>
      </c>
      <c r="F161" s="158">
        <v>649</v>
      </c>
    </row>
    <row r="162">
      <c r="A162" s="153"/>
      <c r="B162" s="154"/>
      <c r="C162" s="155"/>
      <c r="D162" s="156"/>
      <c r="E162" s="157"/>
      <c r="F162" s="158">
        <v>657</v>
      </c>
    </row>
    <row r="163">
      <c r="A163" s="153"/>
      <c r="B163" s="154"/>
      <c r="C163" s="155"/>
      <c r="D163" s="156"/>
      <c r="E163" s="157">
        <v>665</v>
      </c>
      <c r="F163" s="158">
        <v>665</v>
      </c>
    </row>
    <row r="164">
      <c r="A164" s="153"/>
      <c r="B164" s="154"/>
      <c r="C164" s="155"/>
      <c r="D164" s="156"/>
      <c r="E164" s="157"/>
      <c r="F164" s="158">
        <v>673</v>
      </c>
    </row>
    <row r="165">
      <c r="A165" s="153">
        <v>680</v>
      </c>
      <c r="B165" s="154">
        <v>680</v>
      </c>
      <c r="C165" s="155">
        <v>680</v>
      </c>
      <c r="D165" s="156">
        <v>681</v>
      </c>
      <c r="E165" s="157">
        <v>681</v>
      </c>
      <c r="F165" s="158">
        <v>681</v>
      </c>
    </row>
    <row r="166">
      <c r="A166" s="153"/>
      <c r="B166" s="154"/>
      <c r="C166" s="155"/>
      <c r="D166" s="156"/>
      <c r="E166" s="157"/>
      <c r="F166" s="158">
        <v>690</v>
      </c>
    </row>
    <row r="167">
      <c r="A167" s="153"/>
      <c r="B167" s="154"/>
      <c r="C167" s="155"/>
      <c r="D167" s="156"/>
      <c r="E167" s="157">
        <v>698</v>
      </c>
      <c r="F167" s="158">
        <v>698</v>
      </c>
    </row>
    <row r="168">
      <c r="A168" s="153"/>
      <c r="B168" s="154"/>
      <c r="C168" s="155"/>
      <c r="D168" s="156"/>
      <c r="E168" s="157"/>
      <c r="F168" s="158">
        <v>706</v>
      </c>
    </row>
    <row r="169">
      <c r="A169" s="153"/>
      <c r="B169" s="154"/>
      <c r="C169" s="155"/>
      <c r="D169" s="156">
        <v>715</v>
      </c>
      <c r="E169" s="157">
        <v>715</v>
      </c>
      <c r="F169" s="158">
        <v>715</v>
      </c>
    </row>
    <row r="170">
      <c r="A170" s="153"/>
      <c r="B170" s="154"/>
      <c r="C170" s="155"/>
      <c r="D170" s="156"/>
      <c r="E170" s="157"/>
      <c r="F170" s="158">
        <v>723</v>
      </c>
    </row>
    <row r="171">
      <c r="A171" s="153"/>
      <c r="B171" s="154"/>
      <c r="C171" s="155"/>
      <c r="D171" s="156"/>
      <c r="E171" s="157">
        <v>732</v>
      </c>
      <c r="F171" s="158">
        <v>732</v>
      </c>
    </row>
    <row r="172">
      <c r="A172" s="153"/>
      <c r="B172" s="154"/>
      <c r="C172" s="155"/>
      <c r="D172" s="156"/>
      <c r="E172" s="157"/>
      <c r="F172" s="158">
        <v>741</v>
      </c>
    </row>
    <row r="173">
      <c r="A173" s="153"/>
      <c r="B173" s="154"/>
      <c r="C173" s="155">
        <v>750</v>
      </c>
      <c r="D173" s="156">
        <v>750</v>
      </c>
      <c r="E173" s="157">
        <v>750</v>
      </c>
      <c r="F173" s="158">
        <v>750</v>
      </c>
    </row>
    <row r="174">
      <c r="A174" s="153"/>
      <c r="B174" s="154"/>
      <c r="C174" s="155"/>
      <c r="D174" s="156"/>
      <c r="E174" s="157"/>
      <c r="F174" s="158">
        <v>759</v>
      </c>
    </row>
    <row r="175">
      <c r="A175" s="153"/>
      <c r="B175" s="154"/>
      <c r="C175" s="155"/>
      <c r="D175" s="156"/>
      <c r="E175" s="157">
        <v>768</v>
      </c>
      <c r="F175" s="158">
        <v>768</v>
      </c>
    </row>
    <row r="176">
      <c r="A176" s="153"/>
      <c r="B176" s="154"/>
      <c r="C176" s="155"/>
      <c r="D176" s="156"/>
      <c r="E176" s="157"/>
      <c r="F176" s="158">
        <v>777</v>
      </c>
    </row>
    <row r="177">
      <c r="A177" s="153"/>
      <c r="B177" s="154"/>
      <c r="C177" s="155"/>
      <c r="D177" s="156">
        <v>787</v>
      </c>
      <c r="E177" s="157">
        <v>787</v>
      </c>
      <c r="F177" s="158">
        <v>787</v>
      </c>
    </row>
    <row r="178">
      <c r="A178" s="153"/>
      <c r="B178" s="154"/>
      <c r="C178" s="155"/>
      <c r="D178" s="156"/>
      <c r="E178" s="157"/>
      <c r="F178" s="158">
        <v>796</v>
      </c>
    </row>
    <row r="179">
      <c r="A179" s="153"/>
      <c r="B179" s="154"/>
      <c r="C179" s="155"/>
      <c r="D179" s="156"/>
      <c r="E179" s="157">
        <v>806</v>
      </c>
      <c r="F179" s="158">
        <v>806</v>
      </c>
    </row>
    <row r="180">
      <c r="A180" s="153"/>
      <c r="B180" s="154"/>
      <c r="C180" s="155"/>
      <c r="D180" s="156"/>
      <c r="E180" s="157"/>
      <c r="F180" s="158">
        <v>816</v>
      </c>
    </row>
    <row r="181">
      <c r="A181" s="153"/>
      <c r="B181" s="154">
        <v>820</v>
      </c>
      <c r="C181" s="155">
        <v>820</v>
      </c>
      <c r="D181" s="156">
        <v>825</v>
      </c>
      <c r="E181" s="157">
        <v>825</v>
      </c>
      <c r="F181" s="158">
        <v>825</v>
      </c>
    </row>
    <row r="182">
      <c r="A182" s="153"/>
      <c r="B182" s="154"/>
      <c r="C182" s="155"/>
      <c r="D182" s="156"/>
      <c r="E182" s="157"/>
      <c r="F182" s="158">
        <v>835</v>
      </c>
    </row>
    <row r="183">
      <c r="A183" s="153"/>
      <c r="B183" s="154"/>
      <c r="C183" s="155"/>
      <c r="D183" s="156"/>
      <c r="E183" s="157">
        <v>845</v>
      </c>
      <c r="F183" s="158">
        <v>845</v>
      </c>
    </row>
    <row r="184">
      <c r="A184" s="153"/>
      <c r="B184" s="154"/>
      <c r="C184" s="155"/>
      <c r="D184" s="156"/>
      <c r="E184" s="157"/>
      <c r="F184" s="158">
        <v>856</v>
      </c>
    </row>
    <row r="185">
      <c r="A185" s="153"/>
      <c r="B185" s="154"/>
      <c r="C185" s="155"/>
      <c r="D185" s="156">
        <v>866</v>
      </c>
      <c r="E185" s="157">
        <v>866</v>
      </c>
      <c r="F185" s="158">
        <v>866</v>
      </c>
    </row>
    <row r="186">
      <c r="A186" s="153"/>
      <c r="B186" s="154"/>
      <c r="C186" s="155"/>
      <c r="D186" s="156"/>
      <c r="E186" s="157"/>
      <c r="F186" s="158">
        <v>876</v>
      </c>
    </row>
    <row r="187">
      <c r="A187" s="153"/>
      <c r="B187" s="154"/>
      <c r="C187" s="155"/>
      <c r="D187" s="156"/>
      <c r="E187" s="157">
        <v>887</v>
      </c>
      <c r="F187" s="158">
        <v>887</v>
      </c>
    </row>
    <row r="188">
      <c r="A188" s="153"/>
      <c r="B188" s="154"/>
      <c r="C188" s="155"/>
      <c r="D188" s="156"/>
      <c r="E188" s="157"/>
      <c r="F188" s="158">
        <v>898</v>
      </c>
    </row>
    <row r="189">
      <c r="A189" s="153"/>
      <c r="B189" s="154"/>
      <c r="C189" s="155">
        <v>910</v>
      </c>
      <c r="D189" s="156">
        <v>909</v>
      </c>
      <c r="E189" s="157">
        <v>909</v>
      </c>
      <c r="F189" s="158">
        <v>909</v>
      </c>
    </row>
    <row r="190">
      <c r="A190" s="153"/>
      <c r="B190" s="154"/>
      <c r="C190" s="155"/>
      <c r="D190" s="156"/>
      <c r="E190" s="157"/>
      <c r="F190" s="158">
        <v>920</v>
      </c>
    </row>
    <row r="191">
      <c r="A191" s="153"/>
      <c r="B191" s="154"/>
      <c r="C191" s="155"/>
      <c r="D191" s="156"/>
      <c r="E191" s="157">
        <v>931</v>
      </c>
      <c r="F191" s="158">
        <v>931</v>
      </c>
    </row>
    <row r="192">
      <c r="A192" s="153"/>
      <c r="B192" s="154"/>
      <c r="C192" s="155"/>
      <c r="D192" s="156"/>
      <c r="E192" s="157"/>
      <c r="F192" s="158">
        <v>942</v>
      </c>
    </row>
    <row r="193">
      <c r="A193" s="153"/>
      <c r="B193" s="154"/>
      <c r="C193" s="155"/>
      <c r="D193" s="156">
        <v>953</v>
      </c>
      <c r="E193" s="157">
        <v>953</v>
      </c>
      <c r="F193" s="158">
        <v>953</v>
      </c>
    </row>
    <row r="194">
      <c r="A194" s="153"/>
      <c r="B194" s="154"/>
      <c r="C194" s="155"/>
      <c r="D194" s="156"/>
      <c r="E194" s="157"/>
      <c r="F194" s="158">
        <v>965</v>
      </c>
    </row>
    <row r="195">
      <c r="A195" s="153"/>
      <c r="B195" s="154"/>
      <c r="C195" s="155"/>
      <c r="D195" s="156"/>
      <c r="E195" s="157">
        <v>976</v>
      </c>
      <c r="F195" s="158">
        <v>976</v>
      </c>
    </row>
    <row r="196">
      <c r="A196" s="153"/>
      <c r="B196" s="154"/>
      <c r="C196" s="155"/>
      <c r="D196" s="156"/>
      <c r="E196" s="157"/>
      <c r="F196" s="158">
        <v>988</v>
      </c>
    </row>
  </sheetData>
  <sheetProtection password="8553" autoFilter="1" deleteColumns="1" deleteRows="1" formatCells="1" formatColumns="1" formatRows="1" insertColumns="1" insertHyperlinks="1" insertRows="1" objects="1" pivotTables="1" scenarios="1" selectLockedCells="0" selectUnlockedCells="0" sheet="1" sort="1"/>
  <mergeCells count="187">
    <mergeCell ref="C13:C20"/>
    <mergeCell ref="D13:D16"/>
    <mergeCell ref="E13:E14"/>
    <mergeCell ref="E15:E16"/>
    <mergeCell ref="D17:D20"/>
    <mergeCell ref="E17:E18"/>
    <mergeCell ref="E19:E20"/>
    <mergeCell ref="A1:F1"/>
    <mergeCell ref="A5:A36"/>
    <mergeCell ref="B5:B20"/>
    <mergeCell ref="C5:C12"/>
    <mergeCell ref="D5:D8"/>
    <mergeCell ref="E5:E6"/>
    <mergeCell ref="E7:E8"/>
    <mergeCell ref="D9:D12"/>
    <mergeCell ref="E9:E10"/>
    <mergeCell ref="E11:E12"/>
    <mergeCell ref="E29:E30"/>
    <mergeCell ref="E31:E32"/>
    <mergeCell ref="D33:D36"/>
    <mergeCell ref="E33:E34"/>
    <mergeCell ref="E35:E36"/>
    <mergeCell ref="A37:A68"/>
    <mergeCell ref="B37:B52"/>
    <mergeCell ref="C37:C44"/>
    <mergeCell ref="D37:D40"/>
    <mergeCell ref="E37:E38"/>
    <mergeCell ref="B21:B36"/>
    <mergeCell ref="C21:C28"/>
    <mergeCell ref="D21:D24"/>
    <mergeCell ref="E21:E22"/>
    <mergeCell ref="E23:E24"/>
    <mergeCell ref="D25:D28"/>
    <mergeCell ref="E25:E26"/>
    <mergeCell ref="E27:E28"/>
    <mergeCell ref="C29:C36"/>
    <mergeCell ref="D29:D32"/>
    <mergeCell ref="E39:E40"/>
    <mergeCell ref="D41:D44"/>
    <mergeCell ref="E41:E42"/>
    <mergeCell ref="E43:E44"/>
    <mergeCell ref="C45:C52"/>
    <mergeCell ref="D45:D48"/>
    <mergeCell ref="E45:E46"/>
    <mergeCell ref="E47:E48"/>
    <mergeCell ref="D49:D52"/>
    <mergeCell ref="E49:E50"/>
    <mergeCell ref="D61:D64"/>
    <mergeCell ref="E61:E62"/>
    <mergeCell ref="E63:E64"/>
    <mergeCell ref="D65:D68"/>
    <mergeCell ref="E65:E66"/>
    <mergeCell ref="E67:E68"/>
    <mergeCell ref="E51:E52"/>
    <mergeCell ref="B53:B68"/>
    <mergeCell ref="C53:C60"/>
    <mergeCell ref="D53:D56"/>
    <mergeCell ref="E53:E54"/>
    <mergeCell ref="E55:E56"/>
    <mergeCell ref="D57:D60"/>
    <mergeCell ref="E57:E58"/>
    <mergeCell ref="E59:E60"/>
    <mergeCell ref="C61:C68"/>
    <mergeCell ref="D77:D80"/>
    <mergeCell ref="E77:E78"/>
    <mergeCell ref="E79:E80"/>
    <mergeCell ref="D81:D84"/>
    <mergeCell ref="E81:E82"/>
    <mergeCell ref="E83:E84"/>
    <mergeCell ref="A69:A100"/>
    <mergeCell ref="B69:B84"/>
    <mergeCell ref="C69:C76"/>
    <mergeCell ref="D69:D72"/>
    <mergeCell ref="E69:E70"/>
    <mergeCell ref="E71:E72"/>
    <mergeCell ref="D73:D76"/>
    <mergeCell ref="E73:E74"/>
    <mergeCell ref="E75:E76"/>
    <mergeCell ref="C77:C84"/>
    <mergeCell ref="E93:E94"/>
    <mergeCell ref="E95:E96"/>
    <mergeCell ref="D97:D100"/>
    <mergeCell ref="E97:E98"/>
    <mergeCell ref="E99:E100"/>
    <mergeCell ref="A101:A132"/>
    <mergeCell ref="B101:B116"/>
    <mergeCell ref="C101:C108"/>
    <mergeCell ref="D101:D104"/>
    <mergeCell ref="E101:E102"/>
    <mergeCell ref="B85:B100"/>
    <mergeCell ref="C85:C92"/>
    <mergeCell ref="D85:D88"/>
    <mergeCell ref="E85:E86"/>
    <mergeCell ref="E87:E88"/>
    <mergeCell ref="D89:D92"/>
    <mergeCell ref="E89:E90"/>
    <mergeCell ref="E91:E92"/>
    <mergeCell ref="C93:C100"/>
    <mergeCell ref="D93:D96"/>
    <mergeCell ref="E103:E104"/>
    <mergeCell ref="D105:D108"/>
    <mergeCell ref="E105:E106"/>
    <mergeCell ref="E107:E108"/>
    <mergeCell ref="C109:C116"/>
    <mergeCell ref="D109:D112"/>
    <mergeCell ref="E109:E110"/>
    <mergeCell ref="E111:E112"/>
    <mergeCell ref="D113:D116"/>
    <mergeCell ref="E113:E114"/>
    <mergeCell ref="D125:D128"/>
    <mergeCell ref="E125:E126"/>
    <mergeCell ref="E127:E128"/>
    <mergeCell ref="D129:D132"/>
    <mergeCell ref="E129:E130"/>
    <mergeCell ref="E131:E132"/>
    <mergeCell ref="E115:E116"/>
    <mergeCell ref="B117:B132"/>
    <mergeCell ref="C117:C124"/>
    <mergeCell ref="D117:D120"/>
    <mergeCell ref="E117:E118"/>
    <mergeCell ref="E119:E120"/>
    <mergeCell ref="D121:D124"/>
    <mergeCell ref="E121:E122"/>
    <mergeCell ref="E123:E124"/>
    <mergeCell ref="C125:C132"/>
    <mergeCell ref="D141:D144"/>
    <mergeCell ref="E141:E142"/>
    <mergeCell ref="E143:E144"/>
    <mergeCell ref="D145:D148"/>
    <mergeCell ref="E145:E146"/>
    <mergeCell ref="E147:E148"/>
    <mergeCell ref="A133:A164"/>
    <mergeCell ref="B133:B148"/>
    <mergeCell ref="C133:C140"/>
    <mergeCell ref="D133:D136"/>
    <mergeCell ref="E133:E134"/>
    <mergeCell ref="E135:E136"/>
    <mergeCell ref="D137:D140"/>
    <mergeCell ref="E137:E138"/>
    <mergeCell ref="E139:E140"/>
    <mergeCell ref="C141:C148"/>
    <mergeCell ref="E157:E158"/>
    <mergeCell ref="E159:E160"/>
    <mergeCell ref="D161:D164"/>
    <mergeCell ref="E161:E162"/>
    <mergeCell ref="E163:E164"/>
    <mergeCell ref="A165:A196"/>
    <mergeCell ref="B165:B180"/>
    <mergeCell ref="C165:C172"/>
    <mergeCell ref="D165:D168"/>
    <mergeCell ref="E165:E166"/>
    <mergeCell ref="B149:B164"/>
    <mergeCell ref="C149:C156"/>
    <mergeCell ref="D149:D152"/>
    <mergeCell ref="E149:E150"/>
    <mergeCell ref="E151:E152"/>
    <mergeCell ref="D153:D156"/>
    <mergeCell ref="E153:E154"/>
    <mergeCell ref="E155:E156"/>
    <mergeCell ref="C157:C164"/>
    <mergeCell ref="D157:D160"/>
    <mergeCell ref="E167:E168"/>
    <mergeCell ref="D169:D172"/>
    <mergeCell ref="E169:E170"/>
    <mergeCell ref="E171:E172"/>
    <mergeCell ref="C173:C180"/>
    <mergeCell ref="D173:D176"/>
    <mergeCell ref="E173:E174"/>
    <mergeCell ref="E175:E176"/>
    <mergeCell ref="D177:D180"/>
    <mergeCell ref="E177:E178"/>
    <mergeCell ref="D189:D192"/>
    <mergeCell ref="E189:E190"/>
    <mergeCell ref="E191:E192"/>
    <mergeCell ref="D193:D196"/>
    <mergeCell ref="E193:E194"/>
    <mergeCell ref="E195:E196"/>
    <mergeCell ref="E179:E180"/>
    <mergeCell ref="B181:B196"/>
    <mergeCell ref="C181:C188"/>
    <mergeCell ref="D181:D184"/>
    <mergeCell ref="E181:E182"/>
    <mergeCell ref="E183:E184"/>
    <mergeCell ref="D185:D188"/>
    <mergeCell ref="E185:E186"/>
    <mergeCell ref="E187:E188"/>
    <mergeCell ref="C189:C19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4">
    <tabColor rgb="FF002060"/>
    <outlinePr applyStyles="0" summaryBelow="1" summaryRight="1" showOutlineSymbols="1"/>
    <pageSetUpPr autoPageBreaks="1" fitToPage="0"/>
  </sheetPr>
  <sheetViews>
    <sheetView zoomScale="90" workbookViewId="0">
      <pane ySplit="2" topLeftCell="A3" activePane="bottomLeft" state="frozen"/>
      <selection activeCell="L36" activeCellId="0" sqref="L36"/>
    </sheetView>
  </sheetViews>
  <sheetFormatPr defaultRowHeight="15"/>
  <cols>
    <col bestFit="1" customWidth="1" min="1" max="4" width="9.28515625"/>
  </cols>
  <sheetData>
    <row r="1" ht="31.149999999999999">
      <c r="A1" s="160" t="s">
        <v>230</v>
      </c>
    </row>
    <row r="2">
      <c r="A2" s="161" t="s">
        <v>231</v>
      </c>
    </row>
    <row r="3" ht="14.449999999999999">
      <c r="A3" s="162">
        <v>0.01</v>
      </c>
    </row>
    <row r="4" ht="14.449999999999999">
      <c r="A4" s="162">
        <v>0.014999999999999999</v>
      </c>
    </row>
    <row r="5" ht="14.449999999999999">
      <c r="A5" s="162">
        <v>0.021999999999999999</v>
      </c>
    </row>
    <row r="6" ht="14.449999999999999">
      <c r="A6" s="162">
        <v>0.033000000000000002</v>
      </c>
    </row>
    <row r="7" ht="14.449999999999999">
      <c r="A7" s="162">
        <v>0.047</v>
      </c>
    </row>
    <row r="8" ht="14.449999999999999">
      <c r="A8" s="162">
        <v>0.068000000000000005</v>
      </c>
    </row>
    <row r="9" ht="14.449999999999999">
      <c r="A9" s="163">
        <v>0.10000000000000001</v>
      </c>
    </row>
    <row r="10" ht="14.449999999999999">
      <c r="A10" s="163">
        <v>0.14999999999999999</v>
      </c>
    </row>
    <row r="11" ht="14.449999999999999">
      <c r="A11" s="163">
        <v>0.22</v>
      </c>
    </row>
    <row r="12" ht="14.449999999999999">
      <c r="A12" s="163">
        <v>0.33000000000000002</v>
      </c>
    </row>
    <row r="13" ht="14.449999999999999">
      <c r="A13" s="163">
        <v>0.46999999999999997</v>
      </c>
    </row>
    <row r="14" ht="14.449999999999999">
      <c r="A14" s="163">
        <v>0.68000000000000005</v>
      </c>
    </row>
    <row r="15" ht="14.449999999999999">
      <c r="A15" s="163">
        <v>1</v>
      </c>
    </row>
    <row r="16" ht="14.449999999999999">
      <c r="A16" s="163">
        <v>1.5</v>
      </c>
    </row>
    <row r="17" ht="14.449999999999999">
      <c r="A17" s="163">
        <v>2.2000000000000002</v>
      </c>
    </row>
    <row r="18" ht="14.449999999999999">
      <c r="A18" s="163">
        <v>3.2999999999999998</v>
      </c>
    </row>
    <row r="19">
      <c r="A19" s="163">
        <v>4.7000000000000002</v>
      </c>
    </row>
    <row r="20">
      <c r="A20" s="164">
        <v>6.7999999999999998</v>
      </c>
    </row>
    <row r="21">
      <c r="A21" s="164">
        <v>10</v>
      </c>
    </row>
    <row r="22">
      <c r="A22" s="164">
        <v>15</v>
      </c>
    </row>
    <row r="23">
      <c r="A23" s="164">
        <v>22</v>
      </c>
    </row>
    <row r="24">
      <c r="A24" s="165">
        <v>33</v>
      </c>
    </row>
    <row r="25">
      <c r="A25" s="164">
        <v>47</v>
      </c>
    </row>
    <row r="26">
      <c r="A26" s="164">
        <v>68</v>
      </c>
    </row>
    <row r="27">
      <c r="A27" s="164">
        <v>100</v>
      </c>
    </row>
  </sheetData>
  <sheetProtection password="8553" autoFilter="1" deleteColumns="1" deleteRows="1" formatCells="1" formatColumns="1" formatRows="1" insertColumns="1" insertHyperlinks="1" insertRows="1" objects="1" pivotTables="1" scenarios="1" selectLockedCells="0"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K29" activeCellId="0" sqref="K29"/>
    </sheetView>
  </sheetViews>
  <sheetFormatPr defaultRowHeight="15"/>
  <cols>
    <col customWidth="1" min="1" max="1" width="10"/>
    <col customWidth="1" min="2" max="2" width="14.7109375"/>
  </cols>
  <sheetData>
    <row r="1" ht="15.75" customHeight="1">
      <c r="A1" s="5"/>
      <c r="B1" s="166" t="s">
        <v>232</v>
      </c>
      <c r="C1" s="167" t="s">
        <v>233</v>
      </c>
      <c r="D1" s="167" t="s">
        <v>234</v>
      </c>
      <c r="E1" s="167" t="s">
        <v>235</v>
      </c>
      <c r="F1" s="167" t="s">
        <v>236</v>
      </c>
    </row>
    <row r="2" ht="15.75">
      <c r="A2" s="168" t="s">
        <v>237</v>
      </c>
      <c r="B2" s="167"/>
      <c r="C2" s="167"/>
      <c r="D2" s="167"/>
      <c r="E2" s="167"/>
      <c r="F2" s="167"/>
    </row>
    <row r="3" ht="30.75" customHeight="1">
      <c r="A3" s="169">
        <v>4.5</v>
      </c>
      <c r="B3" s="170"/>
      <c r="C3" s="170" t="s">
        <v>238</v>
      </c>
      <c r="D3" s="170" t="s">
        <v>238</v>
      </c>
      <c r="E3" s="170" t="s">
        <v>238</v>
      </c>
      <c r="F3" s="170" t="s">
        <v>238</v>
      </c>
    </row>
    <row r="4" ht="30.75" customHeight="1">
      <c r="A4" s="169">
        <v>18</v>
      </c>
      <c r="B4" s="170"/>
      <c r="C4" s="170" t="s">
        <v>238</v>
      </c>
      <c r="D4" s="170" t="s">
        <v>238</v>
      </c>
      <c r="E4" s="170" t="s">
        <v>238</v>
      </c>
      <c r="F4" s="170" t="s">
        <v>238</v>
      </c>
    </row>
    <row r="5" ht="30.75" customHeight="1">
      <c r="A5" s="169">
        <v>32</v>
      </c>
      <c r="B5" s="170"/>
      <c r="C5" s="170" t="s">
        <v>238</v>
      </c>
      <c r="D5" s="170" t="s">
        <v>238</v>
      </c>
      <c r="E5" s="170" t="s">
        <v>238</v>
      </c>
      <c r="F5" s="170" t="s">
        <v>239</v>
      </c>
    </row>
  </sheetData>
  <sheetProtection password="DD1C" autoFilter="1" deleteColumns="1" deleteRows="1" formatCells="1" formatColumns="1" formatRows="1" insertColumns="1" insertHyperlinks="1" insertRows="1" objects="1" pivotTables="1" scenarios="1" selectLockedCells="0"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Texas Instruments Incorporated</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a0393740</dc:creator>
  <cp:revision>2</cp:revision>
  <dcterms:created xsi:type="dcterms:W3CDTF">2013-05-30T14:28:05Z</dcterms:created>
  <dcterms:modified xsi:type="dcterms:W3CDTF">2026-04-29T07:27:41Z</dcterms:modified>
</cp:coreProperties>
</file>